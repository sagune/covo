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f72f434ca47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结果" sheetId="1" r:id="Rd56adee69980469d"/>
    <x:sheet xmlns:r="http://schemas.openxmlformats.org/officeDocument/2006/relationships" name="摘要" sheetId="2" r:id="Rf7e366324d0c4fd9"/>
    <x:sheet xmlns:r="http://schemas.openxmlformats.org/officeDocument/2006/relationships" name="说明与来源" sheetId="3" r:id="R05e32af3ddd645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%"/>
    <x:numFmt numFmtId="201" formatCode="0.0000"/>
    <x:numFmt numFmtId="202" formatCode="0.00%"/>
    <x:numFmt numFmtId="203" formatCode="#,##0"/>
    <x:numFmt numFmtId="204" formatCode="0"/>
  </x:numFmts>
  <x:fonts count="11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 Display"/>
    </x:font>
    <x:font>
      <x:b/>
      <x:sz val="18"/>
      <x:color rgb="FF0F4C5C"/>
      <x:name val="Aptos Display"/>
    </x:font>
    <x:font>
      <x:sz val="10"/>
      <x:color rgb="FF475569"/>
      <x:name val="Aptos"/>
    </x:font>
    <x:font>
      <x:sz val="11"/>
      <x:color rgb="FF172033"/>
      <x:name val="Aptos"/>
    </x:font>
    <x:font>
      <x:b/>
      <x:sz val="10"/>
      <x:color rgb="FFFFFFFF"/>
      <x:name val="Aptos"/>
    </x:font>
    <x:font>
      <x:b/>
      <x:sz val="11"/>
      <x:color rgb="FF0F4C5C"/>
      <x:name val="Carlito"/>
    </x:font>
    <x:font>
      <x:i/>
      <x:sz val="11"/>
      <x:color rgb="FF78350F"/>
      <x:name val="Carlito"/>
    </x:font>
    <x:font>
      <x:b/>
      <x:sz val="11"/>
      <x:color rgb="FFFFFFFF"/>
      <x:name val="Aptos"/>
    </x:font>
    <x:font>
      <x:b/>
      <x:sz val="11"/>
      <x:color rgb="FF0F4C5C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CEEF2"/>
      </x:patternFill>
    </x:fill>
    <x:fill>
      <x:patternFill patternType="solid">
        <x:fgColor rgb="FFFEF3C7"/>
      </x:patternFill>
    </x:fill>
  </x:fills>
  <x:borders count="24">
    <x:border/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medium">
        <x:color rgb="FF0B3540"/>
      </x:bottom>
    </x:border>
    <x:border>
      <x:bottom style="medium">
        <x:color rgb="FF0B3540"/>
      </x:bottom>
    </x:border>
    <x:border>
      <x:top style="thin">
        <x:color rgb="FFE2E8F0"/>
      </x:top>
    </x:border>
    <x:border>
      <x:top style="thin">
        <x:color rgb="FFE2E8F0"/>
      </x:top>
    </x:border>
    <x:border>
      <x:left style="thin">
        <x:color rgb="FF94A3B8"/>
      </x:left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left style="thin">
        <x:color rgb="FF94A3B8"/>
      </x:left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vertical="center"/>
    </x:xf>
    <x:xf numFmtId="0" fontId="2" fillId="2" borderId="9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left" vertical="center"/>
    </x:xf>
    <x:xf numFmtId="0" fontId="1" fillId="0" borderId="4" xfId="0" applyNumberFormat="1" applyFont="1" applyFill="1" applyBorder="1" applyAlignment="1">
      <x:alignment horizontal="left" vertical="center"/>
    </x:xf>
    <x:xf numFmtId="0" fontId="1" fillId="0" borderId="6" xfId="0" applyNumberFormat="1" applyFont="1" applyFill="1" applyBorder="1" applyAlignment="1">
      <x:alignment horizontal="left" vertical="center"/>
    </x:xf>
    <x:xf numFmtId="0" fontId="1" fillId="0" borderId="7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7" xfId="0" applyNumberFormat="1" applyFont="1" applyFill="1" applyBorder="1" applyAlignment="1">
      <x:alignment horizontal="right" vertical="center"/>
    </x:xf>
    <x:xf numFmtId="200" fontId="1" fillId="0" borderId="3" xfId="0" applyNumberFormat="1" applyFont="1" applyFill="1" applyBorder="1" applyAlignment="1">
      <x:alignment horizontal="right" vertical="center"/>
    </x:xf>
    <x:xf numFmtId="200" fontId="1" fillId="0" borderId="4" xfId="0" applyNumberFormat="1" applyFont="1" applyFill="1" applyBorder="1" applyAlignment="1">
      <x:alignment horizontal="right" vertical="center"/>
    </x:xf>
    <x:xf numFmtId="200" fontId="1" fillId="0" borderId="6" xfId="0" applyNumberFormat="1" applyFont="1" applyFill="1" applyBorder="1" applyAlignment="1">
      <x:alignment horizontal="right" vertical="center"/>
    </x:xf>
    <x:xf numFmtId="200" fontId="1" fillId="0" borderId="7" xfId="0" applyNumberFormat="1" applyFont="1" applyFill="1" applyBorder="1" applyAlignment="1">
      <x:alignment horizontal="right" vertical="center"/>
    </x:xf>
    <x:xf numFmtId="201" fontId="1" fillId="0" borderId="3" xfId="0" applyNumberFormat="1" applyFont="1" applyFill="1" applyBorder="1" applyAlignment="1">
      <x:alignment horizontal="right" vertical="center"/>
    </x:xf>
    <x:xf numFmtId="201" fontId="1" fillId="0" borderId="4" xfId="0" applyNumberFormat="1" applyFont="1" applyFill="1" applyBorder="1" applyAlignment="1">
      <x:alignment horizontal="right" vertical="center"/>
    </x:xf>
    <x:xf numFmtId="201" fontId="1" fillId="0" borderId="6" xfId="0" applyNumberFormat="1" applyFont="1" applyFill="1" applyBorder="1" applyAlignment="1">
      <x:alignment horizontal="right" vertical="center"/>
    </x:xf>
    <x:xf numFmtId="201" fontId="1" fillId="0" borderId="7" xfId="0" applyNumberFormat="1" applyFont="1" applyFill="1" applyBorder="1" applyAlignment="1">
      <x:alignment horizontal="right" vertical="center"/>
    </x:xf>
    <x:xf numFmtId="202" fontId="1" fillId="0" borderId="3" xfId="0" applyNumberFormat="1" applyFont="1" applyFill="1" applyBorder="1" applyAlignment="1">
      <x:alignment horizontal="right" vertical="center"/>
    </x:xf>
    <x:xf numFmtId="202" fontId="1" fillId="0" borderId="4" xfId="0" applyNumberFormat="1" applyFont="1" applyFill="1" applyBorder="1" applyAlignment="1">
      <x:alignment horizontal="right" vertical="center"/>
    </x:xf>
    <x:xf numFmtId="202" fontId="1" fillId="0" borderId="6" xfId="0" applyNumberFormat="1" applyFont="1" applyFill="1" applyBorder="1" applyAlignment="1">
      <x:alignment horizontal="right" vertical="center"/>
    </x:xf>
    <x:xf numFmtId="202" fontId="1" fillId="0" borderId="7" xfId="0" applyNumberFormat="1" applyFont="1" applyFill="1" applyBorder="1" applyAlignment="1">
      <x:alignment horizontal="right" vertical="center"/>
    </x:xf>
    <x:xf numFmtId="203" fontId="1" fillId="0" borderId="3" xfId="0" applyNumberFormat="1" applyFont="1" applyFill="1" applyBorder="1" applyAlignment="1">
      <x:alignment horizontal="left" vertical="center"/>
    </x:xf>
    <x:xf numFmtId="203" fontId="1" fillId="0" borderId="4" xfId="0" applyNumberFormat="1" applyFont="1" applyFill="1" applyBorder="1" applyAlignment="1">
      <x:alignment horizontal="left" vertical="center"/>
    </x:xf>
    <x:xf numFmtId="203" fontId="1" fillId="0" borderId="6" xfId="0" applyNumberFormat="1" applyFont="1" applyFill="1" applyBorder="1" applyAlignment="1">
      <x:alignment horizontal="left" vertical="center"/>
    </x:xf>
    <x:xf numFmtId="203" fontId="1" fillId="0" borderId="7" xfId="0" applyNumberFormat="1" applyFont="1" applyFill="1" applyBorder="1" applyAlignment="1">
      <x:alignment horizontal="left" vertical="center"/>
    </x:xf>
    <x:xf numFmtId="203" fontId="1" fillId="0" borderId="3" xfId="0" applyNumberFormat="1" applyFont="1" applyFill="1" applyBorder="1" applyAlignment="1">
      <x:alignment horizontal="right" vertical="center"/>
    </x:xf>
    <x:xf numFmtId="203" fontId="1" fillId="0" borderId="4" xfId="0" applyNumberFormat="1" applyFont="1" applyFill="1" applyBorder="1" applyAlignment="1">
      <x:alignment horizontal="right" vertical="center"/>
    </x:xf>
    <x:xf numFmtId="203" fontId="1" fillId="0" borderId="6" xfId="0" applyNumberFormat="1" applyFont="1" applyFill="1" applyBorder="1" applyAlignment="1">
      <x:alignment horizontal="right" vertical="center"/>
    </x:xf>
    <x:xf numFmtId="203" fontId="1" fillId="0" borderId="7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left" vertical="center" wrapText="1"/>
    </x:xf>
    <x:xf numFmtId="0" fontId="1" fillId="0" borderId="6" xfId="0" applyNumberFormat="1" applyFont="1" applyFill="1" applyBorder="1" applyAlignment="1">
      <x:alignment horizontal="left" vertical="center" wrapText="1"/>
    </x:xf>
    <x:xf numFmtId="0" fontId="1" fillId="0" borderId="7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right" vertical="center" wrapText="1"/>
    </x:xf>
    <x:xf numFmtId="0" fontId="1" fillId="0" borderId="4" xfId="0" applyNumberFormat="1" applyFont="1" applyFill="1" applyBorder="1" applyAlignment="1">
      <x:alignment horizontal="right" vertical="center" wrapText="1"/>
    </x:xf>
    <x:xf numFmtId="0" fontId="1" fillId="0" borderId="6" xfId="0" applyNumberFormat="1" applyFont="1" applyFill="1" applyBorder="1" applyAlignment="1">
      <x:alignment horizontal="right" vertical="center" wrapText="1"/>
    </x:xf>
    <x:xf numFmtId="0" fontId="1" fillId="0" borderId="7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0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11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5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5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horizontal="center" vertical="center"/>
    </x:xf>
    <x:xf numFmtId="0" fontId="6" fillId="2" borderId="5" xfId="0" applyNumberFormat="1" applyFont="1" applyFill="1" applyBorder="1" applyAlignment="1">
      <x:alignment horizontal="center"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10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11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2" fontId="5" fillId="0" borderId="10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2" fontId="5" fillId="0" borderId="11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horizontal="left" vertical="center"/>
    </x:xf>
    <x:xf numFmtId="0" fontId="5" fillId="0" borderId="10" xfId="0" applyNumberFormat="1" applyFont="1" applyFill="1" applyBorder="1" applyAlignment="1">
      <x:alignment horizontal="left" vertical="center"/>
    </x:xf>
    <x:xf numFmtId="0" fontId="5" fillId="0" borderId="6" xfId="0" applyNumberFormat="1" applyFont="1" applyFill="1" applyBorder="1" applyAlignment="1">
      <x:alignment horizontal="left" vertical="center"/>
    </x:xf>
    <x:xf numFmtId="0" fontId="5" fillId="0" borderId="1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2" xfId="0" applyNumberFormat="1" applyFont="1" applyFill="1" applyBorder="1"/>
    <x:xf numFmtId="0" fontId="7" fillId="3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7" fillId="3" borderId="18" xfId="0" applyNumberFormat="1" applyFont="1" applyFill="1" applyBorder="1"/>
    <x:xf numFmtId="0" fontId="7" fillId="3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4" fontId="0" fillId="0" borderId="15" xfId="0" applyNumberFormat="1" applyFont="1" applyFill="1" applyBorder="1"/>
    <x:xf numFmtId="204" fontId="0" fillId="0" borderId="17" xfId="0" applyNumberFormat="1" applyFont="1" applyFill="1" applyBorder="1"/>
    <x:xf numFmtId="204" fontId="0" fillId="0" borderId="21" xfId="0" applyNumberFormat="1" applyFont="1" applyFill="1" applyBorder="1"/>
    <x:xf numFmtId="204" fontId="0" fillId="0" borderId="23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vertical="top"/>
    </x:xf>
    <x:xf numFmtId="0" fontId="5" fillId="0" borderId="10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/>
    </x:xf>
    <x:xf numFmtId="0" fontId="5" fillId="0" borderId="6" xfId="0" applyNumberFormat="1" applyFont="1" applyFill="1" applyBorder="1" applyAlignment="1">
      <x:alignment vertical="top"/>
    </x:xf>
    <x:xf numFmtId="0" fontId="5" fillId="0" borderId="11" xfId="0" applyNumberFormat="1" applyFont="1" applyFill="1" applyBorder="1" applyAlignment="1">
      <x:alignment vertical="top"/>
    </x:xf>
    <x:xf numFmtId="0" fontId="5" fillId="2" borderId="2" xfId="0" applyNumberFormat="1" applyFont="1" applyFill="1" applyBorder="1" applyAlignment="1">
      <x:alignment vertical="top"/>
    </x:xf>
    <x:xf numFmtId="0" fontId="5" fillId="2" borderId="5" xfId="0" applyNumberFormat="1" applyFont="1" applyFill="1" applyBorder="1" applyAlignment="1">
      <x:alignment vertical="top"/>
    </x:xf>
    <x:xf numFmtId="0" fontId="9" fillId="2" borderId="2" xfId="0" applyNumberFormat="1" applyFont="1" applyFill="1" applyBorder="1" applyAlignment="1">
      <x:alignment vertical="top"/>
    </x:xf>
    <x:xf numFmtId="0" fontId="9" fillId="2" borderId="5" xfId="0" applyNumberFormat="1" applyFont="1" applyFill="1" applyBorder="1" applyAlignment="1">
      <x:alignment vertical="top"/>
    </x:xf>
    <x:xf numFmtId="0" fontId="10" fillId="0" borderId="3" xfId="0" applyNumberFormat="1" applyFont="1" applyFill="1" applyBorder="1" applyAlignment="1">
      <x:alignment vertical="top"/>
    </x:xf>
    <x:xf numFmtId="0" fontId="10" fillId="0" borderId="10" xfId="0" applyNumberFormat="1" applyFont="1" applyFill="1" applyBorder="1" applyAlignment="1">
      <x:alignment vertical="top"/>
    </x:xf>
    <x:xf numFmtId="0" fontId="10" fillId="0" borderId="6" xfId="0" applyNumberFormat="1" applyFont="1" applyFill="1" applyBorder="1" applyAlignment="1">
      <x:alignment vertical="top"/>
    </x:xf>
    <x:xf numFmtId="0" fontId="10" fillId="0" borderId="11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fceca4a944706" /><Relationship Type="http://schemas.openxmlformats.org/officeDocument/2006/relationships/theme" Target="/xl/theme/theme1.xml" Id="Rebb17fffb08b45eb" /><Relationship Type="http://schemas.openxmlformats.org/officeDocument/2006/relationships/sharedStrings" Target="/xl/sharedStrings.xml" Id="R1d52680734f74bee" /><Relationship Type="http://schemas.openxmlformats.org/officeDocument/2006/relationships/worksheet" Target="/xl/worksheets/sheet1.xml" Id="Rd56adee69980469d" /><Relationship Type="http://schemas.openxmlformats.org/officeDocument/2006/relationships/worksheet" Target="/xl/worksheets/sheet2.xml" Id="Rf7e366324d0c4fd9" /><Relationship Type="http://schemas.openxmlformats.org/officeDocument/2006/relationships/worksheet" Target="/xl/worksheets/sheet3.xml" Id="R05e32af3ddd6458f" /></Relationships>
</file>

<file path=xl/tables/table1.xml><?xml version="1.0" encoding="utf-8"?>
<x:table xmlns:x="http://schemas.openxmlformats.org/spreadsheetml/2006/main" id="1" name="ExperimentResultsTable" displayName="ExperimentResultsTable" ref="A1:P32" headerRowCount="1" totalsRowCount="0" totalsRowShown="0">
  <x:autoFilter ref="A1:P32"/>
  <x:tableColumns count="16">
    <x:tableColumn id="1" name="语言"/>
    <x:tableColumn id="2" name="数据集"/>
    <x:tableColumn id="3" name="范围"/>
    <x:tableColumn id="4" name="样本数"/>
    <x:tableColumn id="5" name="系统"/>
    <x:tableColumn id="6" name="Adapter / Checkpoint"/>
    <x:tableColumn id="7" name="指标"/>
    <x:tableColumn id="8" name="输入错误率"/>
    <x:tableColumn id="9" name="输出错误率"/>
    <x:tableColumn id="10" name="变化 (pp)"/>
    <x:tableColumn id="11" name="相对变化"/>
    <x:tableColumn id="12" name="Improved"/>
    <x:tableColumn id="13" name="Worsened"/>
    <x:tableColumn id="14" name="Unchanged"/>
    <x:tableColumn id="15" name="结果性质"/>
    <x:tableColumn id="16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eyResultsTable" displayName="KeyResultsTable" ref="A4:G10" headerRowCount="1" totalsRowCount="0" totalsRowShown="0">
  <x:tableColumns count="7">
    <x:tableColumn id="1" name="数据集"/>
    <x:tableColumn id="2" name="范围"/>
    <x:tableColumn id="3" name="指标"/>
    <x:tableColumn id="4" name="输入错误率"/>
    <x:tableColumn id="5" name="输出错误率"/>
    <x:tableColumn id="6" name="相对变化"/>
    <x:tableColumn id="7" name="结果性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tesTable" displayName="NotesTable" ref="A1:B10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74fee7c80640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d04bd0783b48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60a7f2688148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4" hidden="0" customWidth="1"/>
    <x:col min="4" max="4" width="10" hidden="0" customWidth="1"/>
    <x:col min="5" max="5" width="42" hidden="0" customWidth="1"/>
    <x:col min="6" max="6" width="31" hidden="0" customWidth="1"/>
    <x:col min="7" max="7" width="10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1" hidden="0" customWidth="1"/>
    <x:col min="16" max="16" width="46" hidden="0" customWidth="1"/>
  </x:cols>
  <x:sheetData>
    <x:row r="1" ht="34" customHeight="1">
      <x:c r="A1" s="24" t="str">
        <x:v>语言</x:v>
      </x:c>
      <x:c r="B1" s="24" t="str">
        <x:v>数据集</x:v>
      </x:c>
      <x:c r="C1" s="24" t="str">
        <x:v>范围</x:v>
      </x:c>
      <x:c r="D1" s="24" t="str">
        <x:v>样本数</x:v>
      </x:c>
      <x:c r="E1" s="24" t="str">
        <x:v>系统</x:v>
      </x:c>
      <x:c r="F1" s="24" t="str">
        <x:v>Adapter / Checkpoint</x:v>
      </x:c>
      <x:c r="G1" s="24" t="str">
        <x:v>指标</x:v>
      </x:c>
      <x:c r="H1" s="24" t="str">
        <x:v>输入错误率</x:v>
      </x:c>
      <x:c r="I1" s="24" t="str">
        <x:v>输出错误率</x:v>
      </x:c>
      <x:c r="J1" s="24" t="str">
        <x:v>变化 (pp)</x:v>
      </x:c>
      <x:c r="K1" s="24" t="str">
        <x:v>相对变化</x:v>
      </x:c>
      <x:c r="L1" s="24" t="str">
        <x:v>Improved</x:v>
      </x:c>
      <x:c r="M1" s="24" t="str">
        <x:v>Worsened</x:v>
      </x:c>
      <x:c r="N1" s="24" t="str">
        <x:v>Unchanged</x:v>
      </x:c>
      <x:c r="O1" s="24" t="str">
        <x:v>结果性质</x:v>
      </x:c>
      <x:c r="P1" s="24" t="str">
        <x:v>说明</x:v>
      </x:c>
    </x:row>
    <x:row r="2" ht="38" customHeight="1">
      <x:c r="A2" s="26" t="str">
        <x:v>中文</x:v>
      </x:c>
      <x:c r="B2" s="26" t="str">
        <x:v>AISHELL-NE</x:v>
      </x:c>
      <x:c r="C2" s="26" t="str">
        <x:v>808 Full</x:v>
      </x:c>
      <x:c r="D2" s="46" t="n">
        <x:v>808</x:v>
      </x:c>
      <x:c r="E2" s="54" t="str">
        <x:v>CB-SenseVoice w14 + DPO-30 COVO</x:v>
      </x:c>
      <x:c r="F2" s="54" t="str">
        <x:v>DPO-30 4B</x:v>
      </x:c>
      <x:c r="G2" s="26" t="str">
        <x:v>CER</x:v>
      </x:c>
      <x:c r="H2" s="34" t="n">
        <x:v>0.103609</x:v>
      </x:c>
      <x:c r="I2" s="34" t="n">
        <x:v>0.031354</x:v>
      </x:c>
      <x:c r="J2" s="38" t="n">
        <x:f>(I2-H2)*100</x:f>
        <x:v>-7.225500000000001</x:v>
      </x:c>
      <x:c r="K2" s="42" t="n">
        <x:f>IFERROR(I2/H2-1,"")</x:f>
        <x:v>-0.6973815016070033</x:v>
      </x:c>
      <x:c r="L2" s="50"/>
      <x:c r="M2" s="50"/>
      <x:c r="N2" s="50"/>
      <x:c r="O2" s="58" t="str">
        <x:v>full_contextual_joint_main</x:v>
      </x:c>
      <x:c r="P2" s="54" t="str">
        <x:v>Recall@400=90.50%; R1 Recall@226=83.63%</x:v>
      </x:c>
    </x:row>
    <x:row r="3" ht="38" customHeight="1">
      <x:c r="A3" s="26" t="str">
        <x:v>中文</x:v>
      </x:c>
      <x:c r="B3" s="26" t="str">
        <x:v>AISHELL-1</x:v>
      </x:c>
      <x:c r="C3" s="26" t="str">
        <x:v>Full</x:v>
      </x:c>
      <x:c r="D3" s="46" t="n">
        <x:v>7176</x:v>
      </x:c>
      <x:c r="E3" s="54" t="str">
        <x:v>Routed SenseVoice / CB-SenseVoice w14 + DPO-30 COVO</x:v>
      </x:c>
      <x:c r="F3" s="54" t="str">
        <x:v>DPO-30 4B</x:v>
      </x:c>
      <x:c r="G3" s="26" t="str">
        <x:v>CER</x:v>
      </x:c>
      <x:c r="H3" s="34" t="n">
        <x:v>0.062922</x:v>
      </x:c>
      <x:c r="I3" s="34" t="n">
        <x:v>0.032062</x:v>
      </x:c>
      <x:c r="J3" s="38" t="n">
        <x:f>(I3-H3)*100</x:f>
        <x:v>-3.0860000000000007</x:v>
      </x:c>
      <x:c r="K3" s="42" t="n">
        <x:f>IFERROR(I3/H3-1,"")</x:f>
        <x:v>-0.49044849178347805</x:v>
      </x:c>
      <x:c r="L3" s="50"/>
      <x:c r="M3" s="50"/>
      <x:c r="N3" s="50"/>
      <x:c r="O3" s="58" t="str">
        <x:v>full_contextual</x:v>
      </x:c>
      <x:c r="P3" s="54" t="str">
        <x:v>808 contextual rows + 6368 bare SenseVoice rows</x:v>
      </x:c>
    </x:row>
    <x:row r="4" ht="38" customHeight="1">
      <x:c r="A4" s="26" t="str">
        <x:v>中文</x:v>
      </x:c>
      <x:c r="B4" s="26" t="str">
        <x:v>AISHELL-1</x:v>
      </x:c>
      <x:c r="C4" s="26" t="str">
        <x:v>test</x:v>
      </x:c>
      <x:c r="D4" s="46" t="n">
        <x:v>7174</x:v>
      </x:c>
      <x:c r="E4" s="54" t="str">
        <x:v>SenseVoice 10-best + Qwen3.5-9B</x:v>
      </x:c>
      <x:c r="F4" s="54" t="str">
        <x:v>AISHELL checkpoint-30022</x:v>
      </x:c>
      <x:c r="G4" s="26" t="str">
        <x:v>CER</x:v>
      </x:c>
      <x:c r="H4" s="34" t="n">
        <x:v>0.058353999999999996</x:v>
      </x:c>
      <x:c r="I4" s="34" t="n">
        <x:v>0.026231</x:v>
      </x:c>
      <x:c r="J4" s="38" t="n">
        <x:f>(I4-H4)*100</x:f>
        <x:v>-3.2123</x:v>
      </x:c>
      <x:c r="K4" s="42" t="n">
        <x:f>IFERROR(I4/H4-1,"")</x:f>
        <x:v>-0.550484971038832</x:v>
      </x:c>
      <x:c r="L4" s="50" t="n">
        <x:v>2425</x:v>
      </x:c>
      <x:c r="M4" s="50" t="n">
        <x:v>282</x:v>
      </x:c>
      <x:c r="N4" s="50" t="n">
        <x:v>4467</x:v>
      </x:c>
      <x:c r="O4" s="58" t="str">
        <x:v>full_held_out</x:v>
      </x:c>
      <x:c r="P4" s="54" t="str">
        <x:v>2 empty references skipped</x:v>
      </x:c>
    </x:row>
    <x:row r="5" ht="38" customHeight="1">
      <x:c r="A5" s="26" t="str">
        <x:v>中文</x:v>
      </x:c>
      <x:c r="B5" s="26" t="str">
        <x:v>AISHELL-1</x:v>
      </x:c>
      <x:c r="C5" s="26" t="str">
        <x:v>Full</x:v>
      </x:c>
      <x:c r="D5" s="46" t="n">
        <x:v>7176</x:v>
      </x:c>
      <x:c r="E5" s="54" t="str">
        <x:v>Error-targeted CB-SenseVoice + preserve2 COVO</x:v>
      </x:c>
      <x:c r="F5" s="54" t="str">
        <x:v>preserve2 4B</x:v>
      </x:c>
      <x:c r="G5" s="26" t="str">
        <x:v>CER</x:v>
      </x:c>
      <x:c r="H5" s="34" t="n">
        <x:v>0.026345</x:v>
      </x:c>
      <x:c r="I5" s="34" t="n">
        <x:v>0.018335999999999998</x:v>
      </x:c>
      <x:c r="J5" s="38" t="n">
        <x:f>(I5-H5)*100</x:f>
        <x:v>-0.8009000000000002</x:v>
      </x:c>
      <x:c r="K5" s="42" t="n">
        <x:f>IFERROR(I5/H5-1,"")</x:f>
        <x:v>-0.30400455494401224</x:v>
      </x:c>
      <x:c r="L5" s="50" t="n">
        <x:v>890</x:v>
      </x:c>
      <x:c r="M5" s="50" t="n">
        <x:v>198</x:v>
      </x:c>
      <x:c r="N5" s="50" t="n">
        <x:v>6088</x:v>
      </x:c>
      <x:c r="O5" s="58" t="str">
        <x:v>leaked_diagnostic</x:v>
      </x:c>
      <x:c r="P5" s="54" t="str">
        <x:v>test-reference/error-derived hotwords</x:v>
      </x:c>
    </x:row>
    <x:row r="6" ht="38" customHeight="1">
      <x:c r="A6" s="26" t="str">
        <x:v>中文</x:v>
      </x:c>
      <x:c r="B6" s="26" t="str">
        <x:v>AISHELL-1</x:v>
      </x:c>
      <x:c r="C6" s="26" t="str">
        <x:v>Full</x:v>
      </x:c>
      <x:c r="D6" s="46" t="n">
        <x:v>7176</x:v>
      </x:c>
      <x:c r="E6" s="54" t="str">
        <x:v>Error-targeted CB-SenseVoice + Qwen3.5-9B</x:v>
      </x:c>
      <x:c r="F6" s="54" t="str">
        <x:v>AISHELL checkpoint-30022</x:v>
      </x:c>
      <x:c r="G6" s="26" t="str">
        <x:v>CER</x:v>
      </x:c>
      <x:c r="H6" s="34" t="n">
        <x:v>0.026345</x:v>
      </x:c>
      <x:c r="I6" s="34" t="n">
        <x:v>0.01846</x:v>
      </x:c>
      <x:c r="J6" s="38" t="n">
        <x:f>(I6-H6)*100</x:f>
        <x:v>-0.7885</x:v>
      </x:c>
      <x:c r="K6" s="42" t="n">
        <x:f>IFERROR(I6/H6-1,"")</x:f>
        <x:v>-0.2992977794647941</x:v>
      </x:c>
      <x:c r="L6" s="50" t="n">
        <x:v>1150</x:v>
      </x:c>
      <x:c r="M6" s="50" t="n">
        <x:v>504</x:v>
      </x:c>
      <x:c r="N6" s="50" t="n">
        <x:v>5522</x:v>
      </x:c>
      <x:c r="O6" s="58" t="str">
        <x:v>leaked_diagnostic</x:v>
      </x:c>
      <x:c r="P6" s="54" t="str">
        <x:v>test-reference/error-derived hotwords</x:v>
      </x:c>
    </x:row>
    <x:row r="7" ht="38" customHeight="1">
      <x:c r="A7" s="26" t="str">
        <x:v>中文</x:v>
      </x:c>
      <x:c r="B7" s="26" t="str">
        <x:v>ST-CMDS</x:v>
      </x:c>
      <x:c r="C7" s="26" t="str">
        <x:v>test</x:v>
      </x:c>
      <x:c r="D7" s="46" t="n">
        <x:v>5130</x:v>
      </x:c>
      <x:c r="E7" s="54" t="str">
        <x:v>SenseVoice 10-best + Qwen3.5-9B</x:v>
      </x:c>
      <x:c r="F7" s="54" t="str">
        <x:v>ST-CMDS checkpoint-34400</x:v>
      </x:c>
      <x:c r="G7" s="26" t="str">
        <x:v>CER</x:v>
      </x:c>
      <x:c r="H7" s="34" t="n">
        <x:v>0.056407</x:v>
      </x:c>
      <x:c r="I7" s="34" t="n">
        <x:v>0.044994</x:v>
      </x:c>
      <x:c r="J7" s="38" t="n">
        <x:f>(I7-H7)*100</x:f>
        <x:v>-1.1413</x:v>
      </x:c>
      <x:c r="K7" s="42" t="n">
        <x:f>IFERROR(I7/H7-1,"")</x:f>
        <x:v>-0.20233304377116312</x:v>
      </x:c>
      <x:c r="L7" s="50" t="n">
        <x:v>828</x:v>
      </x:c>
      <x:c r="M7" s="50" t="n">
        <x:v>355</x:v>
      </x:c>
      <x:c r="N7" s="50" t="n">
        <x:v>3947</x:v>
      </x:c>
      <x:c r="O7" s="58" t="str">
        <x:v>full_held_out</x:v>
      </x:c>
      <x:c r="P7" s="54" t="str">
        <x:v>checkpoint selected on dev only</x:v>
      </x:c>
    </x:row>
    <x:row r="8" ht="38" customHeight="1">
      <x:c r="A8" s="26" t="str">
        <x:v>中文</x:v>
      </x:c>
      <x:c r="B8" s="26" t="str">
        <x:v>ST-CMDS</x:v>
      </x:c>
      <x:c r="C8" s="26" t="str">
        <x:v>Full</x:v>
      </x:c>
      <x:c r="D8" s="46" t="n">
        <x:v>5130</x:v>
      </x:c>
      <x:c r="E8" s="54" t="str">
        <x:v>Standard-3139 CB-SenseVoice + ChineseHP COVO</x:v>
      </x:c>
      <x:c r="F8" s="54" t="str">
        <x:v>historical 4B</x:v>
      </x:c>
      <x:c r="G8" s="26" t="str">
        <x:v>CER</x:v>
      </x:c>
      <x:c r="H8" s="34" t="n">
        <x:v>0.05792099999999999</x:v>
      </x:c>
      <x:c r="I8" s="34" t="n">
        <x:v>0.052757</x:v>
      </x:c>
      <x:c r="J8" s="38" t="n">
        <x:f>(I8-H8)*100</x:f>
        <x:v>-0.5163999999999995</x:v>
      </x:c>
      <x:c r="K8" s="42" t="n">
        <x:f>IFERROR(I8/H8-1,"")</x:f>
        <x:v>-0.08915591926934952</x:v>
      </x:c>
      <x:c r="L8" s="50" t="n">
        <x:v>541</x:v>
      </x:c>
      <x:c r="M8" s="50" t="n">
        <x:v>316</x:v>
      </x:c>
      <x:c r="N8" s="50" t="n">
        <x:v>4273</x:v>
      </x:c>
      <x:c r="O8" s="58" t="str">
        <x:v>full_contextual</x:v>
      </x:c>
      <x:c r="P8" s="54" t="str">
        <x:v>different input from naked 9B</x:v>
      </x:c>
    </x:row>
    <x:row r="9" ht="38" customHeight="1">
      <x:c r="A9" s="26" t="str">
        <x:v>中文</x:v>
      </x:c>
      <x:c r="B9" s="26" t="str">
        <x:v>ST-CMDS</x:v>
      </x:c>
      <x:c r="C9" s="26" t="str">
        <x:v>Full</x:v>
      </x:c>
      <x:c r="D9" s="46" t="n">
        <x:v>5130</x:v>
      </x:c>
      <x:c r="E9" s="54" t="str">
        <x:v>Standard-3139 CB-SenseVoice + Qwen3.5-9B</x:v>
      </x:c>
      <x:c r="F9" s="54" t="str">
        <x:v>ST-CMDS checkpoint-34400</x:v>
      </x:c>
      <x:c r="G9" s="26" t="str">
        <x:v>CER</x:v>
      </x:c>
      <x:c r="H9" s="34" t="n">
        <x:v>0.05792099999999999</x:v>
      </x:c>
      <x:c r="I9" s="34" t="n">
        <x:v>0.049054</x:v>
      </x:c>
      <x:c r="J9" s="38" t="n">
        <x:f>(I9-H9)*100</x:f>
        <x:v>-0.8866999999999993</x:v>
      </x:c>
      <x:c r="K9" s="42" t="n">
        <x:f>IFERROR(I9/H9-1,"")</x:f>
        <x:v>-0.153087826522332</x:v>
      </x:c>
      <x:c r="L9" s="50" t="n">
        <x:v>753</x:v>
      </x:c>
      <x:c r="M9" s="50" t="n">
        <x:v>388</x:v>
      </x:c>
      <x:c r="N9" s="50" t="n">
        <x:v>3989</x:v>
      </x:c>
      <x:c r="O9" s="58" t="str">
        <x:v>full_contextual</x:v>
      </x:c>
      <x:c r="P9" s="54" t="str">
        <x:v>different input from naked 9B</x:v>
      </x:c>
    </x:row>
    <x:row r="10" ht="38" customHeight="1">
      <x:c r="A10" s="26" t="str">
        <x:v>中文</x:v>
      </x:c>
      <x:c r="B10" s="26" t="str">
        <x:v>ST-CMDS</x:v>
      </x:c>
      <x:c r="C10" s="26" t="str">
        <x:v>Full</x:v>
      </x:c>
      <x:c r="D10" s="46" t="n">
        <x:v>5130</x:v>
      </x:c>
      <x:c r="E10" s="54" t="str">
        <x:v>Error-targeted CB-SenseVoice + ChineseHP COVO</x:v>
      </x:c>
      <x:c r="F10" s="54" t="str">
        <x:v>historical 4B</x:v>
      </x:c>
      <x:c r="G10" s="26" t="str">
        <x:v>CER</x:v>
      </x:c>
      <x:c r="H10" s="34" t="n">
        <x:v>0.044834</x:v>
      </x:c>
      <x:c r="I10" s="34" t="n">
        <x:v>0.046917</x:v>
      </x:c>
      <x:c r="J10" s="38" t="n">
        <x:f>(I10-H10)*100</x:f>
        <x:v>0.20830000000000015</x:v>
      </x:c>
      <x:c r="K10" s="42" t="n">
        <x:f>IFERROR(I10/H10-1,"")</x:f>
        <x:v>0.04646027568363298</x:v>
      </x:c>
      <x:c r="L10" s="50" t="n">
        <x:v>403</x:v>
      </x:c>
      <x:c r="M10" s="50" t="n">
        <x:v>495</x:v>
      </x:c>
      <x:c r="N10" s="50" t="n">
        <x:v>4232</x:v>
      </x:c>
      <x:c r="O10" s="58" t="str">
        <x:v>leaked_diagnostic</x:v>
      </x:c>
      <x:c r="P10" s="54" t="str">
        <x:v>test-reference/error-derived hotwords</x:v>
      </x:c>
    </x:row>
    <x:row r="11" ht="38" customHeight="1">
      <x:c r="A11" s="26" t="str">
        <x:v>中文</x:v>
      </x:c>
      <x:c r="B11" s="26" t="str">
        <x:v>ST-CMDS</x:v>
      </x:c>
      <x:c r="C11" s="26" t="str">
        <x:v>Full</x:v>
      </x:c>
      <x:c r="D11" s="46" t="n">
        <x:v>5130</x:v>
      </x:c>
      <x:c r="E11" s="54" t="str">
        <x:v>Error-targeted CB-SenseVoice + Qwen3.5-9B</x:v>
      </x:c>
      <x:c r="F11" s="54" t="str">
        <x:v>ST-CMDS checkpoint-34400</x:v>
      </x:c>
      <x:c r="G11" s="26" t="str">
        <x:v>CER</x:v>
      </x:c>
      <x:c r="H11" s="34" t="n">
        <x:v>0.044834</x:v>
      </x:c>
      <x:c r="I11" s="34" t="n">
        <x:v>0.044994</x:v>
      </x:c>
      <x:c r="J11" s="38" t="n">
        <x:f>(I11-H11)*100</x:f>
        <x:v>0.016000000000000042</x:v>
      </x:c>
      <x:c r="K11" s="42" t="n">
        <x:f>IFERROR(I11/H11-1,"")</x:f>
        <x:v>0.0035687201677299107</x:v>
      </x:c>
      <x:c r="L11" s="50" t="n">
        <x:v>447</x:v>
      </x:c>
      <x:c r="M11" s="50" t="n">
        <x:v>462</x:v>
      </x:c>
      <x:c r="N11" s="50" t="n">
        <x:v>4221</x:v>
      </x:c>
      <x:c r="O11" s="58" t="str">
        <x:v>leaked_diagnostic</x:v>
      </x:c>
      <x:c r="P11" s="54" t="str">
        <x:v>test-reference/error-derived hotwords</x:v>
      </x:c>
    </x:row>
    <x:row r="12" ht="38" customHeight="1">
      <x:c r="A12" s="26" t="str">
        <x:v>中文</x:v>
      </x:c>
      <x:c r="B12" s="26" t="str">
        <x:v>MAGICDATA-READ</x:v>
      </x:c>
      <x:c r="C12" s="26" t="str">
        <x:v>test</x:v>
      </x:c>
      <x:c r="D12" s="46" t="n">
        <x:v>24279</x:v>
      </x:c>
      <x:c r="E12" s="54" t="str">
        <x:v>WOITN SenseVoice 10-best + domain COVO</x:v>
      </x:c>
      <x:c r="F12" s="54" t="str">
        <x:v>checkpoint-18000 4B</x:v>
      </x:c>
      <x:c r="G12" s="26" t="str">
        <x:v>CER</x:v>
      </x:c>
      <x:c r="H12" s="34" t="n">
        <x:v>0.037245</x:v>
      </x:c>
      <x:c r="I12" s="34" t="n">
        <x:v>0.034672999999999995</x:v>
      </x:c>
      <x:c r="J12" s="38" t="n">
        <x:f>(I12-H12)*100</x:f>
        <x:v>-0.2572000000000005</x:v>
      </x:c>
      <x:c r="K12" s="42" t="n">
        <x:f>IFERROR(I12/H12-1,"")</x:f>
        <x:v>-0.06905624916096131</x:v>
      </x:c>
      <x:c r="L12" s="50" t="n">
        <x:v>1755</x:v>
      </x:c>
      <x:c r="M12" s="50" t="n">
        <x:v>1264</x:v>
      </x:c>
      <x:c r="N12" s="50" t="n">
        <x:v>21260</x:v>
      </x:c>
      <x:c r="O12" s="58" t="str">
        <x:v>full_held_out</x:v>
      </x:c>
      <x:c r="P12" s="54" t="str">
        <x:v>old domain-COVO protocol</x:v>
      </x:c>
    </x:row>
    <x:row r="13" ht="38" customHeight="1">
      <x:c r="A13" s="26" t="str">
        <x:v>中文</x:v>
      </x:c>
      <x:c r="B13" s="26" t="str">
        <x:v>MAGICDATA-READ</x:v>
      </x:c>
      <x:c r="C13" s="26" t="str">
        <x:v>test</x:v>
      </x:c>
      <x:c r="D13" s="46" t="n">
        <x:v>24279</x:v>
      </x:c>
      <x:c r="E13" s="54" t="str">
        <x:v>WOITN SenseVoice 10-best + original-style COVO</x:v>
      </x:c>
      <x:c r="F13" s="54" t="str">
        <x:v>checkpoint-20000 4B</x:v>
      </x:c>
      <x:c r="G13" s="26" t="str">
        <x:v>CER</x:v>
      </x:c>
      <x:c r="H13" s="34" t="n">
        <x:v>0.037245</x:v>
      </x:c>
      <x:c r="I13" s="34" t="n">
        <x:v>0.024902999999999998</x:v>
      </x:c>
      <x:c r="J13" s="38" t="n">
        <x:f>(I13-H13)*100</x:f>
        <x:v>-1.2342000000000002</x:v>
      </x:c>
      <x:c r="K13" s="42" t="n">
        <x:f>IFERROR(I13/H13-1,"")</x:f>
        <x:v>-0.33137333870318164</x:v>
      </x:c>
      <x:c r="L13" s="50" t="n">
        <x:v>3438</x:v>
      </x:c>
      <x:c r="M13" s="50" t="n">
        <x:v>1309</x:v>
      </x:c>
      <x:c r="N13" s="50" t="n">
        <x:v>19532</x:v>
      </x:c>
      <x:c r="O13" s="58" t="str">
        <x:v>full_held_out</x:v>
      </x:c>
      <x:c r="P13" s="54" t="str">
        <x:v>full test on 2026-08-07</x:v>
      </x:c>
    </x:row>
    <x:row r="14" ht="38" customHeight="1">
      <x:c r="A14" s="26" t="str">
        <x:v>中文</x:v>
      </x:c>
      <x:c r="B14" s="26" t="str">
        <x:v>MAGICDATA-READ</x:v>
      </x:c>
      <x:c r="C14" s="26" t="str">
        <x:v>test</x:v>
      </x:c>
      <x:c r="D14" s="46" t="n">
        <x:v>24279</x:v>
      </x:c>
      <x:c r="E14" s="54" t="str">
        <x:v>WOITN SenseVoice 10-best + Qwen3.5-9B</x:v>
      </x:c>
      <x:c r="F14" s="54" t="str">
        <x:v>MAGICDATA checkpoint-39185</x:v>
      </x:c>
      <x:c r="G14" s="26" t="str">
        <x:v>CER</x:v>
      </x:c>
      <x:c r="H14" s="34" t="n">
        <x:v>0.037245</x:v>
      </x:c>
      <x:c r="I14" s="34" t="n">
        <x:v>0.024333999999999998</x:v>
      </x:c>
      <x:c r="J14" s="38" t="n">
        <x:f>(I14-H14)*100</x:f>
        <x:v>-1.2911000000000001</x:v>
      </x:c>
      <x:c r="K14" s="42" t="n">
        <x:f>IFERROR(I14/H14-1,"")</x:f>
        <x:v>-0.3466505571217614</x:v>
      </x:c>
      <x:c r="L14" s="50" t="n">
        <x:v>3452</x:v>
      </x:c>
      <x:c r="M14" s="50" t="n">
        <x:v>1250</x:v>
      </x:c>
      <x:c r="N14" s="50" t="n">
        <x:v>19577</x:v>
      </x:c>
      <x:c r="O14" s="58" t="str">
        <x:v>full_held_out</x:v>
      </x:c>
      <x:c r="P14" s="54" t="str">
        <x:v>checkpoint selected on dev only</x:v>
      </x:c>
    </x:row>
    <x:row r="15" ht="38" customHeight="1">
      <x:c r="A15" s="26" t="str">
        <x:v>中文</x:v>
      </x:c>
      <x:c r="B15" s="26" t="str">
        <x:v>MAGICDATA-READ</x:v>
      </x:c>
      <x:c r="C15" s="26" t="str">
        <x:v>test</x:v>
      </x:c>
      <x:c r="D15" s="46" t="n">
        <x:v>24279</x:v>
      </x:c>
      <x:c r="E15" s="54" t="str">
        <x:v>OracleLex-6000 CB-SenseVoice + Qwen3.5-9B</x:v>
      </x:c>
      <x:c r="F15" s="54" t="str">
        <x:v>MAGICDATA checkpoint-39185</x:v>
      </x:c>
      <x:c r="G15" s="26" t="str">
        <x:v>CER</x:v>
      </x:c>
      <x:c r="H15" s="34" t="n">
        <x:v>0.037003</x:v>
      </x:c>
      <x:c r="I15" s="34" t="n">
        <x:v>0.027416</x:v>
      </x:c>
      <x:c r="J15" s="38" t="n">
        <x:f>(I15-H15)*100</x:f>
        <x:v>-0.9587000000000002</x:v>
      </x:c>
      <x:c r="K15" s="42" t="n">
        <x:f>IFERROR(I15/H15-1,"")</x:f>
        <x:v>-0.2590871010458612</x:v>
      </x:c>
      <x:c r="L15" s="50" t="n">
        <x:v>3080</x:v>
      </x:c>
      <x:c r="M15" s="50" t="n">
        <x:v>1388</x:v>
      </x:c>
      <x:c r="N15" s="50" t="n">
        <x:v>19811</x:v>
      </x:c>
      <x:c r="O15" s="58" t="str">
        <x:v>leaked_diagnostic</x:v>
      </x:c>
      <x:c r="P15" s="54" t="str">
        <x:v>6000-word vocabulary extracted from test references</x:v>
      </x:c>
    </x:row>
    <x:row r="16" ht="38" customHeight="1">
      <x:c r="A16" s="26" t="str">
        <x:v>中文</x:v>
      </x:c>
      <x:c r="B16" s="26" t="str">
        <x:v>THCHS-30</x:v>
      </x:c>
      <x:c r="C16" s="26" t="str">
        <x:v>test</x:v>
      </x:c>
      <x:c r="D16" s="46" t="n">
        <x:v>2495</x:v>
      </x:c>
      <x:c r="E16" s="54" t="str">
        <x:v>SenseVoice 10-best + acoustic-listwise COVO</x:v>
      </x:c>
      <x:c r="F16" s="54" t="str">
        <x:v>AISHELL acoustic 4B</x:v>
      </x:c>
      <x:c r="G16" s="26" t="str">
        <x:v>CER</x:v>
      </x:c>
      <x:c r="H16" s="34" t="n">
        <x:v>0.051664</x:v>
      </x:c>
      <x:c r="I16" s="34" t="n">
        <x:v>0.042175000000000004</x:v>
      </x:c>
      <x:c r="J16" s="38" t="n">
        <x:f>(I16-H16)*100</x:f>
        <x:v>-0.9488999999999997</x:v>
      </x:c>
      <x:c r="K16" s="42" t="n">
        <x:f>IFERROR(I16/H16-1,"")</x:f>
        <x:v>-0.18366754413130992</x:v>
      </x:c>
      <x:c r="L16" s="50" t="n">
        <x:v>792</x:v>
      </x:c>
      <x:c r="M16" s="50" t="n">
        <x:v>316</x:v>
      </x:c>
      <x:c r="N16" s="50" t="n">
        <x:v>1387</x:v>
      </x:c>
      <x:c r="O16" s="58" t="str">
        <x:v>full_cross_domain</x:v>
      </x:c>
      <x:c r="P16" s="54" t="str">
        <x:v>no THCHS-30 training</x:v>
      </x:c>
    </x:row>
    <x:row r="17" ht="38" customHeight="1">
      <x:c r="A17" s="26" t="str">
        <x:v>中文</x:v>
      </x:c>
      <x:c r="B17" s="26" t="str">
        <x:v>THCHS-30</x:v>
      </x:c>
      <x:c r="C17" s="26" t="str">
        <x:v>test</x:v>
      </x:c>
      <x:c r="D17" s="46" t="n">
        <x:v>2495</x:v>
      </x:c>
      <x:c r="E17" s="54" t="str">
        <x:v>SenseVoice 10-best + original-style COVO</x:v>
      </x:c>
      <x:c r="F17" s="54" t="str">
        <x:v>MAGICDATA checkpoint-20000 4B</x:v>
      </x:c>
      <x:c r="G17" s="26" t="str">
        <x:v>CER</x:v>
      </x:c>
      <x:c r="H17" s="34" t="n">
        <x:v>0.051664</x:v>
      </x:c>
      <x:c r="I17" s="34" t="n">
        <x:v>0.047535999999999995</x:v>
      </x:c>
      <x:c r="J17" s="38" t="n">
        <x:f>(I17-H17)*100</x:f>
        <x:v>-0.41280000000000067</x:v>
      </x:c>
      <x:c r="K17" s="42" t="n">
        <x:f>IFERROR(I17/H17-1,"")</x:f>
        <x:v>-0.07990089811087031</x:v>
      </x:c>
      <x:c r="L17" s="50" t="n">
        <x:v>683</x:v>
      </x:c>
      <x:c r="M17" s="50" t="n">
        <x:v>502</x:v>
      </x:c>
      <x:c r="N17" s="50" t="n">
        <x:v>1310</x:v>
      </x:c>
      <x:c r="O17" s="58" t="str">
        <x:v>full_cross_domain</x:v>
      </x:c>
      <x:c r="P17" s="54" t="str">
        <x:v>no THCHS-30 training</x:v>
      </x:c>
    </x:row>
    <x:row r="18" ht="38" customHeight="1">
      <x:c r="A18" s="26" t="str">
        <x:v>中文</x:v>
      </x:c>
      <x:c r="B18" s="26" t="str">
        <x:v>THCHS-30</x:v>
      </x:c>
      <x:c r="C18" s="26" t="str">
        <x:v>test</x:v>
      </x:c>
      <x:c r="D18" s="46" t="n">
        <x:v>2495</x:v>
      </x:c>
      <x:c r="E18" s="54" t="str">
        <x:v>CB-SenseVoice-style bridge + COVO</x:v>
      </x:c>
      <x:c r="F18" s="54" t="str">
        <x:v>MAGICDATA checkpoint-20000 4B</x:v>
      </x:c>
      <x:c r="G18" s="26" t="str">
        <x:v>CER</x:v>
      </x:c>
      <x:c r="H18" s="34" t="n">
        <x:v>0.051664</x:v>
      </x:c>
      <x:c r="I18" s="34" t="n">
        <x:v>0.047215</x:v>
      </x:c>
      <x:c r="J18" s="38" t="n">
        <x:f>(I18-H18)*100</x:f>
        <x:v>-0.4449000000000002</x:v>
      </x:c>
      <x:c r="K18" s="42" t="n">
        <x:f>IFERROR(I18/H18-1,"")</x:f>
        <x:v>-0.08611412201920099</x:v>
      </x:c>
      <x:c r="L18" s="50" t="n">
        <x:v>647</x:v>
      </x:c>
      <x:c r="M18" s="50" t="n">
        <x:v>461</x:v>
      </x:c>
      <x:c r="N18" s="50" t="n">
        <x:v>1387</x:v>
      </x:c>
      <x:c r="O18" s="58" t="str">
        <x:v>full_cross_domain</x:v>
      </x:c>
      <x:c r="P18" s="54" t="str">
        <x:v>no THCHS-30 tuning</x:v>
      </x:c>
    </x:row>
    <x:row r="19" ht="38" customHeight="1">
      <x:c r="A19" s="26" t="str">
        <x:v>中文</x:v>
      </x:c>
      <x:c r="B19" s="26" t="str">
        <x:v>THCHS-30</x:v>
      </x:c>
      <x:c r="C19" s="26" t="str">
        <x:v>test</x:v>
      </x:c>
      <x:c r="D19" s="46" t="n">
        <x:v>2495</x:v>
      </x:c>
      <x:c r="E19" s="54" t="str">
        <x:v>SenseVoice 10-best + Qwen3.5-9B</x:v>
      </x:c>
      <x:c r="F19" s="54" t="str">
        <x:v>MAGICDATA checkpoint-39185</x:v>
      </x:c>
      <x:c r="G19" s="26" t="str">
        <x:v>CER</x:v>
      </x:c>
      <x:c r="H19" s="34" t="n">
        <x:v>0.051664</x:v>
      </x:c>
      <x:c r="I19" s="34" t="n">
        <x:v>0.04402300000000001</x:v>
      </x:c>
      <x:c r="J19" s="38" t="n">
        <x:f>(I19-H19)*100</x:f>
        <x:v>-0.7640999999999996</x:v>
      </x:c>
      <x:c r="K19" s="42" t="n">
        <x:f>IFERROR(I19/H19-1,"")</x:f>
        <x:v>-0.14789795602353661</x:v>
      </x:c>
      <x:c r="L19" s="50" t="n">
        <x:v>735</x:v>
      </x:c>
      <x:c r="M19" s="50" t="n">
        <x:v>413</x:v>
      </x:c>
      <x:c r="N19" s="50" t="n">
        <x:v>1347</x:v>
      </x:c>
      <x:c r="O19" s="58" t="str">
        <x:v>full_cross_domain</x:v>
      </x:c>
      <x:c r="P19" s="54" t="str">
        <x:v>no THCHS-30 training</x:v>
      </x:c>
    </x:row>
    <x:row r="20" ht="38" customHeight="1">
      <x:c r="A20" s="26" t="str">
        <x:v>中文</x:v>
      </x:c>
      <x:c r="B20" s="26" t="str">
        <x:v>THCHS-30</x:v>
      </x:c>
      <x:c r="C20" s="26" t="str">
        <x:v>test</x:v>
      </x:c>
      <x:c r="D20" s="46" t="n">
        <x:v>2495</x:v>
      </x:c>
      <x:c r="E20" s="54" t="str">
        <x:v>SenseVoice 10-best + Qwen3.5-9B</x:v>
      </x:c>
      <x:c r="F20" s="54" t="str">
        <x:v>ST-CMDS checkpoint-34400</x:v>
      </x:c>
      <x:c r="G20" s="26" t="str">
        <x:v>CER</x:v>
      </x:c>
      <x:c r="H20" s="34" t="n">
        <x:v>0.051664</x:v>
      </x:c>
      <x:c r="I20" s="34" t="n">
        <x:v>0.043358</x:v>
      </x:c>
      <x:c r="J20" s="38" t="n">
        <x:f>(I20-H20)*100</x:f>
        <x:v>-0.8306000000000001</x:v>
      </x:c>
      <x:c r="K20" s="42" t="n">
        <x:f>IFERROR(I20/H20-1,"")</x:f>
        <x:v>-0.1607695881077733</x:v>
      </x:c>
      <x:c r="L20" s="50" t="n">
        <x:v>662</x:v>
      </x:c>
      <x:c r="M20" s="50" t="n">
        <x:v>243</x:v>
      </x:c>
      <x:c r="N20" s="50" t="n">
        <x:v>1590</x:v>
      </x:c>
      <x:c r="O20" s="58" t="str">
        <x:v>full_cross_domain</x:v>
      </x:c>
      <x:c r="P20" s="54" t="str">
        <x:v>no THCHS-30 training</x:v>
      </x:c>
    </x:row>
    <x:row r="21" ht="38" customHeight="1">
      <x:c r="A21" s="26" t="str">
        <x:v>中文</x:v>
      </x:c>
      <x:c r="B21" s="26" t="str">
        <x:v>THCHS-30</x:v>
      </x:c>
      <x:c r="C21" s="26" t="str">
        <x:v>test</x:v>
      </x:c>
      <x:c r="D21" s="46" t="n">
        <x:v>2495</x:v>
      </x:c>
      <x:c r="E21" s="54" t="str">
        <x:v>SenseVoice 10-best + Qwen3.5-9B</x:v>
      </x:c>
      <x:c r="F21" s="54" t="str">
        <x:v>AISHELL checkpoint-30022</x:v>
      </x:c>
      <x:c r="G21" s="26" t="str">
        <x:v>CER</x:v>
      </x:c>
      <x:c r="H21" s="34" t="n">
        <x:v>0.051664</x:v>
      </x:c>
      <x:c r="I21" s="34" t="n">
        <x:v>0.043111</x:v>
      </x:c>
      <x:c r="J21" s="38" t="n">
        <x:f>(I21-H21)*100</x:f>
        <x:v>-0.8553000000000005</x:v>
      </x:c>
      <x:c r="K21" s="42" t="n">
        <x:f>IFERROR(I21/H21-1,"")</x:f>
        <x:v>-0.16555048002477557</x:v>
      </x:c>
      <x:c r="L21" s="50" t="n">
        <x:v>813</x:v>
      </x:c>
      <x:c r="M21" s="50" t="n">
        <x:v>415</x:v>
      </x:c>
      <x:c r="N21" s="50" t="n">
        <x:v>1267</x:v>
      </x:c>
      <x:c r="O21" s="58" t="str">
        <x:v>full_cross_domain</x:v>
      </x:c>
      <x:c r="P21" s="54" t="str">
        <x:v>best full cross-domain result; no THCHS-30 training</x:v>
      </x:c>
    </x:row>
    <x:row r="22" ht="38" customHeight="1">
      <x:c r="A22" s="26" t="str">
        <x:v>中文</x:v>
      </x:c>
      <x:c r="B22" s="26" t="str">
        <x:v>THCHS-30</x:v>
      </x:c>
      <x:c r="C22" s="26" t="str">
        <x:v>test</x:v>
      </x:c>
      <x:c r="D22" s="46" t="n">
        <x:v>2495</x:v>
      </x:c>
      <x:c r="E22" s="54" t="str">
        <x:v>Error-targeted CB-SenseVoice + COVO</x:v>
      </x:c>
      <x:c r="F22" s="54" t="str">
        <x:v>MAGICDATA checkpoint-20000 4B</x:v>
      </x:c>
      <x:c r="G22" s="26" t="str">
        <x:v>CER</x:v>
      </x:c>
      <x:c r="H22" s="34" t="n">
        <x:v>0.034681000000000003</x:v>
      </x:c>
      <x:c r="I22" s="34" t="n">
        <x:v>0.036986</x:v>
      </x:c>
      <x:c r="J22" s="38" t="n">
        <x:f>(I22-H22)*100</x:f>
        <x:v>0.23049999999999946</x:v>
      </x:c>
      <x:c r="K22" s="42" t="n">
        <x:f>IFERROR(I22/H22-1,"")</x:f>
        <x:v>0.06646290476053163</x:v>
      </x:c>
      <x:c r="L22" s="50" t="n">
        <x:v>380</x:v>
      </x:c>
      <x:c r="M22" s="50" t="n">
        <x:v>507</x:v>
      </x:c>
      <x:c r="N22" s="50" t="n">
        <x:v>1608</x:v>
      </x:c>
      <x:c r="O22" s="58" t="str">
        <x:v>leaked_diagnostic</x:v>
      </x:c>
      <x:c r="P22" s="54" t="str">
        <x:v>test-reference/error-derived hotwords</x:v>
      </x:c>
    </x:row>
    <x:row r="23" ht="38" customHeight="1">
      <x:c r="A23" s="26" t="str">
        <x:v>中文</x:v>
      </x:c>
      <x:c r="B23" s="26" t="str">
        <x:v>THCHS-30</x:v>
      </x:c>
      <x:c r="C23" s="26" t="str">
        <x:v>test</x:v>
      </x:c>
      <x:c r="D23" s="46" t="n">
        <x:v>2495</x:v>
      </x:c>
      <x:c r="E23" s="54" t="str">
        <x:v>Error-targeted CB-SenseVoice + acoustic-listwise COVO</x:v>
      </x:c>
      <x:c r="F23" s="54" t="str">
        <x:v>AISHELL acoustic 4B</x:v>
      </x:c>
      <x:c r="G23" s="26" t="str">
        <x:v>CER</x:v>
      </x:c>
      <x:c r="H23" s="34" t="n">
        <x:v>0.034681000000000003</x:v>
      </x:c>
      <x:c r="I23" s="34" t="n">
        <x:v>0.030898</x:v>
      </x:c>
      <x:c r="J23" s="38" t="n">
        <x:f>(I23-H23)*100</x:f>
        <x:v>-0.3783000000000005</x:v>
      </x:c>
      <x:c r="K23" s="42" t="n">
        <x:f>IFERROR(I23/H23-1,"")</x:f>
        <x:v>-0.10907989965687281</x:v>
      </x:c>
      <x:c r="L23" s="50" t="n">
        <x:v>405</x:v>
      </x:c>
      <x:c r="M23" s="50" t="n">
        <x:v>185</x:v>
      </x:c>
      <x:c r="N23" s="50" t="n">
        <x:v>1905</x:v>
      </x:c>
      <x:c r="O23" s="58" t="str">
        <x:v>leaked_diagnostic</x:v>
      </x:c>
      <x:c r="P23" s="54" t="str">
        <x:v>lowest observed but not held-out</x:v>
      </x:c>
    </x:row>
    <x:row r="24" ht="38" customHeight="1">
      <x:c r="A24" s="26" t="str">
        <x:v>中文</x:v>
      </x:c>
      <x:c r="B24" s="26" t="str">
        <x:v>THCHS-30</x:v>
      </x:c>
      <x:c r="C24" s="26" t="str">
        <x:v>test</x:v>
      </x:c>
      <x:c r="D24" s="46" t="n">
        <x:v>2495</x:v>
      </x:c>
      <x:c r="E24" s="54" t="str">
        <x:v>Error-targeted CB-SenseVoice + Qwen3.5-9B</x:v>
      </x:c>
      <x:c r="F24" s="54" t="str">
        <x:v>MAGICDATA checkpoint-39185</x:v>
      </x:c>
      <x:c r="G24" s="26" t="str">
        <x:v>CER</x:v>
      </x:c>
      <x:c r="H24" s="34" t="n">
        <x:v>0.034681000000000003</x:v>
      </x:c>
      <x:c r="I24" s="34" t="n">
        <x:v>0.034176000000000005</x:v>
      </x:c>
      <x:c r="J24" s="38" t="n">
        <x:f>(I24-H24)*100</x:f>
        <x:v>-0.05049999999999985</x:v>
      </x:c>
      <x:c r="K24" s="42" t="n">
        <x:f>IFERROR(I24/H24-1,"")</x:f>
        <x:v>-0.014561287160116398</x:v>
      </x:c>
      <x:c r="L24" s="50" t="n">
        <x:v>437</x:v>
      </x:c>
      <x:c r="M24" s="50" t="n">
        <x:v>433</x:v>
      </x:c>
      <x:c r="N24" s="50" t="n">
        <x:v>1625</x:v>
      </x:c>
      <x:c r="O24" s="58" t="str">
        <x:v>leaked_diagnostic</x:v>
      </x:c>
      <x:c r="P24" s="54" t="str">
        <x:v>test-reference/error-derived hotwords</x:v>
      </x:c>
    </x:row>
    <x:row r="25" ht="38" customHeight="1">
      <x:c r="A25" s="26" t="str">
        <x:v>中文</x:v>
      </x:c>
      <x:c r="B25" s="26" t="str">
        <x:v>THCHS-30</x:v>
      </x:c>
      <x:c r="C25" s="26" t="str">
        <x:v>test</x:v>
      </x:c>
      <x:c r="D25" s="46" t="n">
        <x:v>2495</x:v>
      </x:c>
      <x:c r="E25" s="54" t="str">
        <x:v>Error-targeted CB-SenseVoice + Qwen3.5-9B</x:v>
      </x:c>
      <x:c r="F25" s="54" t="str">
        <x:v>ST-CMDS checkpoint-34400</x:v>
      </x:c>
      <x:c r="G25" s="26" t="str">
        <x:v>CER</x:v>
      </x:c>
      <x:c r="H25" s="34" t="n">
        <x:v>0.034681000000000003</x:v>
      </x:c>
      <x:c r="I25" s="34" t="n">
        <x:v>0.032931</x:v>
      </x:c>
      <x:c r="J25" s="38" t="n">
        <x:f>(I25-H25)*100</x:f>
        <x:v>-0.17500000000000016</x:v>
      </x:c>
      <x:c r="K25" s="42" t="n">
        <x:f>IFERROR(I25/H25-1,"")</x:f>
        <x:v>-0.05045990600040373</x:v>
      </x:c>
      <x:c r="L25" s="50" t="n">
        <x:v>329</x:v>
      </x:c>
      <x:c r="M25" s="50" t="n">
        <x:v>214</x:v>
      </x:c>
      <x:c r="N25" s="50" t="n">
        <x:v>1952</x:v>
      </x:c>
      <x:c r="O25" s="58" t="str">
        <x:v>leaked_diagnostic</x:v>
      </x:c>
      <x:c r="P25" s="54" t="str">
        <x:v>best CB-Sense + 9B result</x:v>
      </x:c>
    </x:row>
    <x:row r="26" ht="38" customHeight="1">
      <x:c r="A26" s="26" t="str">
        <x:v>中文</x:v>
      </x:c>
      <x:c r="B26" s="26" t="str">
        <x:v>THCHS-30</x:v>
      </x:c>
      <x:c r="C26" s="26" t="str">
        <x:v>test</x:v>
      </x:c>
      <x:c r="D26" s="46" t="n">
        <x:v>2495</x:v>
      </x:c>
      <x:c r="E26" s="54" t="str">
        <x:v>Error-targeted CB-SenseVoice + Qwen3.5-9B</x:v>
      </x:c>
      <x:c r="F26" s="54" t="str">
        <x:v>AISHELL checkpoint-30022</x:v>
      </x:c>
      <x:c r="G26" s="26" t="str">
        <x:v>CER</x:v>
      </x:c>
      <x:c r="H26" s="34" t="n">
        <x:v>0.034681000000000003</x:v>
      </x:c>
      <x:c r="I26" s="34" t="n">
        <x:v>0.034804</x:v>
      </x:c>
      <x:c r="J26" s="38" t="n">
        <x:f>(I26-H26)*100</x:f>
        <x:v>0.012299999999999811</x:v>
      </x:c>
      <x:c r="K26" s="42" t="n">
        <x:f>IFERROR(I26/H26-1,"")</x:f>
        <x:v>0.0035466105360282274</x:v>
      </x:c>
      <x:c r="L26" s="50" t="n">
        <x:v>472</x:v>
      </x:c>
      <x:c r="M26" s="50" t="n">
        <x:v>464</x:v>
      </x:c>
      <x:c r="N26" s="50" t="n">
        <x:v>1559</x:v>
      </x:c>
      <x:c r="O26" s="58" t="str">
        <x:v>leaked_diagnostic</x:v>
      </x:c>
      <x:c r="P26" s="54" t="str">
        <x:v>slight regression</x:v>
      </x:c>
    </x:row>
    <x:row r="27" ht="38" customHeight="1">
      <x:c r="A27" s="26" t="str">
        <x:v>英文</x:v>
      </x:c>
      <x:c r="B27" s="26" t="str">
        <x:v>LibriSpeech</x:v>
      </x:c>
      <x:c r="C27" s="26" t="str">
        <x:v>dev-clean</x:v>
      </x:c>
      <x:c r="D27" s="46" t="n">
        <x:v>2703</x:v>
      </x:c>
      <x:c r="E27" s="54" t="str">
        <x:v>SenseVoice 10-best + Qwen3.5-9B</x:v>
      </x:c>
      <x:c r="F27" s="54" t="str">
        <x:v>final 2-epoch adapter</x:v>
      </x:c>
      <x:c r="G27" s="26" t="str">
        <x:v>WER</x:v>
      </x:c>
      <x:c r="H27" s="34" t="n">
        <x:v>0.033804</x:v>
      </x:c>
      <x:c r="I27" s="34" t="n">
        <x:v>0.026046999999999997</x:v>
      </x:c>
      <x:c r="J27" s="38" t="n">
        <x:f>(I27-H27)*100</x:f>
        <x:v>-0.7757000000000004</x:v>
      </x:c>
      <x:c r="K27" s="42" t="n">
        <x:f>IFERROR(I27/H27-1,"")</x:f>
        <x:v>-0.229469885220684</x:v>
      </x:c>
      <x:c r="L27" s="50" t="n">
        <x:v>506</x:v>
      </x:c>
      <x:c r="M27" s="50" t="n">
        <x:v>213</x:v>
      </x:c>
      <x:c r="N27" s="50" t="n">
        <x:v>1984</x:v>
      </x:c>
      <x:c r="O27" s="58" t="str">
        <x:v>full_dev</x:v>
      </x:c>
      <x:c r="P27" s="54" t="str">
        <x:v>character CER 1.2998% to 1.0641%</x:v>
      </x:c>
    </x:row>
    <x:row r="28" ht="38" customHeight="1">
      <x:c r="A28" s="26" t="str">
        <x:v>英文</x:v>
      </x:c>
      <x:c r="B28" s="26" t="str">
        <x:v>LibriSpeech</x:v>
      </x:c>
      <x:c r="C28" s="26" t="str">
        <x:v>dev-other</x:v>
      </x:c>
      <x:c r="D28" s="46" t="n">
        <x:v>2864</x:v>
      </x:c>
      <x:c r="E28" s="54" t="str">
        <x:v>SenseVoice 10-best + Qwen3.5-9B</x:v>
      </x:c>
      <x:c r="F28" s="54" t="str">
        <x:v>final 2-epoch adapter</x:v>
      </x:c>
      <x:c r="G28" s="26" t="str">
        <x:v>WER</x:v>
      </x:c>
      <x:c r="H28" s="34" t="n">
        <x:v>0.07011099999999999</x:v>
      </x:c>
      <x:c r="I28" s="34" t="n">
        <x:v>0.055881</x:v>
      </x:c>
      <x:c r="J28" s="38" t="n">
        <x:f>(I28-H28)*100</x:f>
        <x:v>-1.4229999999999992</x:v>
      </x:c>
      <x:c r="K28" s="42" t="n">
        <x:f>IFERROR(I28/H28-1,"")</x:f>
        <x:v>-0.20296387157507367</x:v>
      </x:c>
      <x:c r="L28" s="50" t="n">
        <x:v>730</x:v>
      </x:c>
      <x:c r="M28" s="50" t="n">
        <x:v>240</x:v>
      </x:c>
      <x:c r="N28" s="50" t="n">
        <x:v>1894</x:v>
      </x:c>
      <x:c r="O28" s="58" t="str">
        <x:v>full_dev</x:v>
      </x:c>
      <x:c r="P28" s="54" t="str">
        <x:v>character CER 3.4088% to 2.9476%</x:v>
      </x:c>
    </x:row>
    <x:row r="29" ht="38" customHeight="1">
      <x:c r="A29" s="26" t="str">
        <x:v>英文</x:v>
      </x:c>
      <x:c r="B29" s="26" t="str">
        <x:v>LibriSpeech</x:v>
      </x:c>
      <x:c r="C29" s="26" t="str">
        <x:v>test-clean</x:v>
      </x:c>
      <x:c r="D29" s="46" t="n">
        <x:v>2620</x:v>
      </x:c>
      <x:c r="E29" s="54" t="str">
        <x:v>SenseVoice 10-best oracle</x:v>
      </x:c>
      <x:c r="F29" s="54" t="str"/>
      <x:c r="G29" s="26" t="str">
        <x:v>WER</x:v>
      </x:c>
      <x:c r="H29" s="34" t="n">
        <x:v>0.032277</x:v>
      </x:c>
      <x:c r="I29" s="34" t="n">
        <x:v>0.017517</x:v>
      </x:c>
      <x:c r="J29" s="38" t="n">
        <x:f>(I29-H29)*100</x:f>
        <x:v>-1.476</x:v>
      </x:c>
      <x:c r="K29" s="42" t="n">
        <x:f>IFERROR(I29/H29-1,"")</x:f>
        <x:v>-0.45729156984849895</x:v>
      </x:c>
      <x:c r="L29" s="50"/>
      <x:c r="M29" s="50"/>
      <x:c r="N29" s="50"/>
      <x:c r="O29" s="58" t="str">
        <x:v>oracle</x:v>
      </x:c>
      <x:c r="P29" s="54" t="str">
        <x:v>candidate-pool upper bound only</x:v>
      </x:c>
    </x:row>
    <x:row r="30" ht="38" customHeight="1">
      <x:c r="A30" s="26" t="str">
        <x:v>英文</x:v>
      </x:c>
      <x:c r="B30" s="26" t="str">
        <x:v>LibriSpeech</x:v>
      </x:c>
      <x:c r="C30" s="26" t="str">
        <x:v>test-clean</x:v>
      </x:c>
      <x:c r="D30" s="46" t="n">
        <x:v>2620</x:v>
      </x:c>
      <x:c r="E30" s="54" t="str">
        <x:v>SenseVoice 10-best + Qwen3.5-9B</x:v>
      </x:c>
      <x:c r="F30" s="54" t="str">
        <x:v>final 2-epoch adapter</x:v>
      </x:c>
      <x:c r="G30" s="26" t="str">
        <x:v>WER</x:v>
      </x:c>
      <x:c r="H30" s="34" t="n">
        <x:v>0.032277</x:v>
      </x:c>
      <x:c r="I30" s="34" t="n">
        <x:v>0.026419</x:v>
      </x:c>
      <x:c r="J30" s="38" t="n">
        <x:f>(I30-H30)*100</x:f>
        <x:v>-0.5857999999999999</x:v>
      </x:c>
      <x:c r="K30" s="42" t="n">
        <x:f>IFERROR(I30/H30-1,"")</x:f>
        <x:v>-0.18149146451033238</x:v>
      </x:c>
      <x:c r="L30" s="50" t="n">
        <x:v>445</x:v>
      </x:c>
      <x:c r="M30" s="50" t="n">
        <x:v>208</x:v>
      </x:c>
      <x:c r="N30" s="50" t="n">
        <x:v>1967</x:v>
      </x:c>
      <x:c r="O30" s="58" t="str">
        <x:v>full_test</x:v>
      </x:c>
      <x:c r="P30" s="54" t="str">
        <x:v>character CER 1.2237% to 1.0258%</x:v>
      </x:c>
    </x:row>
    <x:row r="31" ht="38" customHeight="1">
      <x:c r="A31" s="26" t="str">
        <x:v>英文</x:v>
      </x:c>
      <x:c r="B31" s="26" t="str">
        <x:v>LibriSpeech</x:v>
      </x:c>
      <x:c r="C31" s="26" t="str">
        <x:v>test-other</x:v>
      </x:c>
      <x:c r="D31" s="46" t="n">
        <x:v>2939</x:v>
      </x:c>
      <x:c r="E31" s="54" t="str">
        <x:v>SenseVoice 10-best oracle</x:v>
      </x:c>
      <x:c r="F31" s="54" t="str"/>
      <x:c r="G31" s="26" t="str">
        <x:v>WER</x:v>
      </x:c>
      <x:c r="H31" s="34" t="n">
        <x:v>0.072789</x:v>
      </x:c>
      <x:c r="I31" s="34" t="n">
        <x:v>0.049061</x:v>
      </x:c>
      <x:c r="J31" s="38" t="n">
        <x:f>(I31-H31)*100</x:f>
        <x:v>-2.3728000000000007</x:v>
      </x:c>
      <x:c r="K31" s="42" t="n">
        <x:f>IFERROR(I31/H31-1,"")</x:f>
        <x:v>-0.32598332165574473</x:v>
      </x:c>
      <x:c r="L31" s="50"/>
      <x:c r="M31" s="50"/>
      <x:c r="N31" s="50"/>
      <x:c r="O31" s="58" t="str">
        <x:v>oracle</x:v>
      </x:c>
      <x:c r="P31" s="54" t="str">
        <x:v>candidate-pool upper bound only</x:v>
      </x:c>
    </x:row>
    <x:row r="32" ht="38" customHeight="1">
      <x:c r="A32" s="27" t="str">
        <x:v>英文</x:v>
      </x:c>
      <x:c r="B32" s="27" t="str">
        <x:v>LibriSpeech</x:v>
      </x:c>
      <x:c r="C32" s="27" t="str">
        <x:v>test-other</x:v>
      </x:c>
      <x:c r="D32" s="47" t="n">
        <x:v>2939</x:v>
      </x:c>
      <x:c r="E32" s="55" t="str">
        <x:v>SenseVoice 10-best + Qwen3.5-9B</x:v>
      </x:c>
      <x:c r="F32" s="55" t="str">
        <x:v>final 2-epoch adapter</x:v>
      </x:c>
      <x:c r="G32" s="27" t="str">
        <x:v>WER</x:v>
      </x:c>
      <x:c r="H32" s="35" t="n">
        <x:v>0.072789</x:v>
      </x:c>
      <x:c r="I32" s="35" t="n">
        <x:v>0.059206</x:v>
      </x:c>
      <x:c r="J32" s="39" t="n">
        <x:f>(I32-H32)*100</x:f>
        <x:v>-1.3583000000000005</x:v>
      </x:c>
      <x:c r="K32" s="43" t="n">
        <x:f>IFERROR(I32/H32-1,"")</x:f>
        <x:v>-0.18660786657324602</x:v>
      </x:c>
      <x:c r="L32" s="51" t="n">
        <x:v>761</x:v>
      </x:c>
      <x:c r="M32" s="51" t="n">
        <x:v>283</x:v>
      </x:c>
      <x:c r="N32" s="51" t="n">
        <x:v>1895</x:v>
      </x:c>
      <x:c r="O32" s="59" t="str">
        <x:v>full_test</x:v>
      </x:c>
      <x:c r="P32" s="55" t="str">
        <x:v>character CER 3.4059% to 2.9635%</x:v>
      </x:c>
    </x:row>
  </x:sheetData>
  <x:conditionalFormatting sqref="J2:J32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O2:O32">
    <x:cfRule type="containsText" dxfId="2" priority="3" operator="containsText" text="leaked"/>
    <x:cfRule type="containsText" dxfId="3" priority="4" operator="containsText" text="oracle"/>
    <x:cfRule type="beginsWith" dxfId="4" priority="5" operator="beginsWith" text="full"/>
  </x:conditionalFormatting>
  <x:pageMargins left="0.7" right="0.7" top="0.75" bottom="0.75" header="0.3" footer="0.3"/>
  <x:tableParts count="1">
    <x:tablePart xmlns:r="http://schemas.openxmlformats.org/officeDocument/2006/relationships" r:id="R1f74fee7c80640b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5" hidden="0" customWidth="1"/>
    <x:col min="5" max="5" width="15" hidden="0" customWidth="1"/>
    <x:col min="6" max="6" width="15" hidden="0" customWidth="1"/>
    <x:col min="7" max="7" width="30" hidden="0" customWidth="1"/>
  </x:cols>
  <x:sheetData>
    <x:row r="1" ht="32" customHeight="1">
      <x:c r="A1" s="62" t="str">
        <x:v>五个数据集实验结果摘要</x:v>
      </x:c>
    </x:row>
    <x:row r="2">
      <x:c r="A2" s="64" t="str">
        <x:v>中文使用 corpus CER；LibriSpeech 使用 WER。负变化表示错误率下降。</x:v>
      </x:c>
    </x:row>
    <x:row r="4" ht="28" customHeight="1">
      <x:c r="A4" s="84" t="str">
        <x:v>数据集</x:v>
      </x:c>
      <x:c r="B4" s="84" t="str">
        <x:v>范围</x:v>
      </x:c>
      <x:c r="C4" s="84" t="str">
        <x:v>指标</x:v>
      </x:c>
      <x:c r="D4" s="84" t="str">
        <x:v>输入错误率</x:v>
      </x:c>
      <x:c r="E4" s="84" t="str">
        <x:v>输出错误率</x:v>
      </x:c>
      <x:c r="F4" s="84" t="str">
        <x:v>相对变化</x:v>
      </x:c>
      <x:c r="G4" s="84" t="str">
        <x:v>结果性质</x:v>
      </x:c>
    </x:row>
    <x:row r="5" ht="27" customHeight="1">
      <x:c r="A5" s="75" t="str">
        <x:v>AISHELL-1</x:v>
      </x:c>
      <x:c r="B5" s="75" t="str">
        <x:v>test</x:v>
      </x:c>
      <x:c r="C5" s="75" t="str">
        <x:v>CER</x:v>
      </x:c>
      <x:c r="D5" s="86" t="n">
        <x:f>'实验结果'!H4</x:f>
        <x:v>0.058353999999999996</x:v>
      </x:c>
      <x:c r="E5" s="86" t="n">
        <x:f>'实验结果'!I4</x:f>
        <x:v>0.026231</x:v>
      </x:c>
      <x:c r="F5" s="90" t="n">
        <x:f>'实验结果'!K4</x:f>
        <x:v>-0.550484971038832</x:v>
      </x:c>
      <x:c r="G5" s="94" t="str">
        <x:f>'实验结果'!O4</x:f>
        <x:v>full_held_out</x:v>
      </x:c>
    </x:row>
    <x:row r="6" ht="27" customHeight="1">
      <x:c r="A6" s="75" t="str">
        <x:v>ST-CMDS</x:v>
      </x:c>
      <x:c r="B6" s="75" t="str">
        <x:v>test</x:v>
      </x:c>
      <x:c r="C6" s="75" t="str">
        <x:v>CER</x:v>
      </x:c>
      <x:c r="D6" s="86" t="n">
        <x:f>'实验结果'!H7</x:f>
        <x:v>0.056407</x:v>
      </x:c>
      <x:c r="E6" s="86" t="n">
        <x:f>'实验结果'!I7</x:f>
        <x:v>0.044994</x:v>
      </x:c>
      <x:c r="F6" s="90" t="n">
        <x:f>'实验结果'!K7</x:f>
        <x:v>-0.20233304377116312</x:v>
      </x:c>
      <x:c r="G6" s="94" t="str">
        <x:f>'实验结果'!O7</x:f>
        <x:v>full_held_out</x:v>
      </x:c>
    </x:row>
    <x:row r="7" ht="27" customHeight="1">
      <x:c r="A7" s="75" t="str">
        <x:v>MAGICDATA-READ</x:v>
      </x:c>
      <x:c r="B7" s="75" t="str">
        <x:v>test</x:v>
      </x:c>
      <x:c r="C7" s="75" t="str">
        <x:v>CER</x:v>
      </x:c>
      <x:c r="D7" s="86" t="n">
        <x:f>'实验结果'!H14</x:f>
        <x:v>0.037245</x:v>
      </x:c>
      <x:c r="E7" s="86" t="n">
        <x:f>'实验结果'!I14</x:f>
        <x:v>0.024333999999999998</x:v>
      </x:c>
      <x:c r="F7" s="90" t="n">
        <x:f>'实验结果'!K14</x:f>
        <x:v>-0.3466505571217614</x:v>
      </x:c>
      <x:c r="G7" s="94" t="str">
        <x:f>'实验结果'!O14</x:f>
        <x:v>full_held_out</x:v>
      </x:c>
    </x:row>
    <x:row r="8" ht="27" customHeight="1">
      <x:c r="A8" s="75" t="str">
        <x:v>THCHS-30</x:v>
      </x:c>
      <x:c r="B8" s="75" t="str">
        <x:v>test</x:v>
      </x:c>
      <x:c r="C8" s="75" t="str">
        <x:v>CER</x:v>
      </x:c>
      <x:c r="D8" s="86" t="n">
        <x:f>'实验结果'!H21</x:f>
        <x:v>0.051664</x:v>
      </x:c>
      <x:c r="E8" s="86" t="n">
        <x:f>'实验结果'!I21</x:f>
        <x:v>0.043111</x:v>
      </x:c>
      <x:c r="F8" s="90" t="n">
        <x:f>'实验结果'!K21</x:f>
        <x:v>-0.16555048002477557</x:v>
      </x:c>
      <x:c r="G8" s="94" t="str">
        <x:f>'实验结果'!O21</x:f>
        <x:v>full_cross_domain</x:v>
      </x:c>
    </x:row>
    <x:row r="9" ht="27" customHeight="1">
      <x:c r="A9" s="75" t="str">
        <x:v>LibriSpeech</x:v>
      </x:c>
      <x:c r="B9" s="75" t="str">
        <x:v>test-clean</x:v>
      </x:c>
      <x:c r="C9" s="75" t="str">
        <x:v>WER</x:v>
      </x:c>
      <x:c r="D9" s="86" t="n">
        <x:f>'实验结果'!H30</x:f>
        <x:v>0.032277</x:v>
      </x:c>
      <x:c r="E9" s="86" t="n">
        <x:f>'实验结果'!I30</x:f>
        <x:v>0.026419</x:v>
      </x:c>
      <x:c r="F9" s="90" t="n">
        <x:f>'实验结果'!K30</x:f>
        <x:v>-0.18149146451033238</x:v>
      </x:c>
      <x:c r="G9" s="94" t="str">
        <x:f>'实验结果'!O30</x:f>
        <x:v>full_test</x:v>
      </x:c>
    </x:row>
    <x:row r="10" ht="27" customHeight="1">
      <x:c r="A10" s="76" t="str">
        <x:v>LibriSpeech</x:v>
      </x:c>
      <x:c r="B10" s="76" t="str">
        <x:v>test-other</x:v>
      </x:c>
      <x:c r="C10" s="76" t="str">
        <x:v>WER</x:v>
      </x:c>
      <x:c r="D10" s="87" t="n">
        <x:f>'实验结果'!H32</x:f>
        <x:v>0.072789</x:v>
      </x:c>
      <x:c r="E10" s="87" t="n">
        <x:f>'实验结果'!I32</x:f>
        <x:v>0.059206</x:v>
      </x:c>
      <x:c r="F10" s="91" t="n">
        <x:f>'实验结果'!K32</x:f>
        <x:v>-0.18660786657324602</x:v>
      </x:c>
      <x:c r="G10" s="95" t="str">
        <x:f>'实验结果'!O32</x:f>
        <x:v>full_test</x:v>
      </x:c>
    </x:row>
    <x:row r="13">
      <x:c r="A13" s="102" t="str">
        <x:v>结果类别</x:v>
      </x:c>
      <x:c r="B13" s="103" t="str">
        <x:v>行数</x:v>
      </x:c>
    </x:row>
    <x:row r="14">
      <x:c r="A14" s="104" t="str">
        <x:v>Full / 完整评测</x:v>
      </x:c>
      <x:c r="B14" s="114" t="n">
        <x:f>COUNTIF('实验结果'!$O$2:$O$32,"full_contextual_joint_main")+COUNTIF('实验结果'!$O$2:$O$32,"full_contextual")+COUNTIF('实验结果'!$O$2:$O$32,"full_held_out")+COUNTIF('实验结果'!$O$2:$O$32,"full_cross_domain")+COUNTIF('实验结果'!$O$2:$O$32,"full_dev")+COUNTIF('实验结果'!$O$2:$O$32,"full_test")</x:f>
        <x:v>19</x:v>
      </x:c>
    </x:row>
    <x:row r="15">
      <x:c r="A15" s="104" t="str">
        <x:v>Leaked diagnostic</x:v>
      </x:c>
      <x:c r="B15" s="114" t="n">
        <x:f>COUNTIF('实验结果'!$O$2:$O$32,"leaked_diagnostic")</x:f>
        <x:v>10</x:v>
      </x:c>
    </x:row>
    <x:row r="16">
      <x:c r="A16" s="106" t="str">
        <x:v>Oracle</x:v>
      </x:c>
      <x:c r="B16" s="115" t="n">
        <x:f>COUNTIF('实验结果'!$O$2:$O$32,"oracle")</x:f>
        <x:v>2</x:v>
      </x:c>
    </x:row>
    <x:row r="18" ht="42" customHeight="1">
      <x:c r="A18" s="122" t="str">
        <x:v>注意：Leaked diagnostic 与 Oracle 行只用于能力上界或诊断，不能作为 held-out 主结果。不同上游输入的结果只做行内比较。</x:v>
      </x:c>
      <x:c r="B18" s="118"/>
      <x:c r="C18" s="118"/>
      <x:c r="D18" s="118"/>
      <x:c r="E18" s="118"/>
      <x:c r="F18" s="118"/>
      <x:c r="G18" s="118"/>
    </x:row>
  </x:sheetData>
  <x:mergeCells>
    <x:mergeCell ref="A18:G18"/>
  </x:mergeCells>
  <x:pageMargins left="0.7" right="0.7" top="0.75" bottom="0.75" header="0.3" footer="0.3"/>
  <x:tableParts count="1">
    <x:tablePart xmlns:r="http://schemas.openxmlformats.org/officeDocument/2006/relationships" r:id="R95d04bd0783b48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 ht="28" customHeight="1">
      <x:c r="A1" s="132" t="str">
        <x:v>项目</x:v>
      </x:c>
      <x:c r="B1" s="132" t="str">
        <x:v>说明</x:v>
      </x:c>
    </x:row>
    <x:row r="2" ht="34" customHeight="1">
      <x:c r="A2" s="134" t="str">
        <x:v>中文指标</x:v>
      </x:c>
      <x:c r="B2" s="138" t="str">
        <x:v>Corpus CER = 总字符编辑数 / 总参考字符数</x:v>
      </x:c>
    </x:row>
    <x:row r="3" ht="34" customHeight="1">
      <x:c r="A3" s="134" t="str">
        <x:v>英文指标</x:v>
      </x:c>
      <x:c r="B3" s="138" t="str">
        <x:v>LibriSpeech 使用 corpus WER = 总词编辑数 / 总参考词数</x:v>
      </x:c>
    </x:row>
    <x:row r="4" ht="34" customHeight="1">
      <x:c r="A4" s="134" t="str">
        <x:v>变化</x:v>
      </x:c>
      <x:c r="B4" s="138" t="str">
        <x:v>输出错误率减输入错误率；负值代表改善</x:v>
      </x:c>
    </x:row>
    <x:row r="5" ht="34" customHeight="1">
      <x:c r="A5" s="134" t="str">
        <x:v>Full</x:v>
      </x:c>
      <x:c r="B5" s="138" t="str">
        <x:v>完整目标范围；held-out 表示 checkpoint 未由 test 选择</x:v>
      </x:c>
    </x:row>
    <x:row r="6" ht="34" customHeight="1">
      <x:c r="A6" s="134" t="str">
        <x:v>Full cross-domain</x:v>
      </x:c>
      <x:c r="B6" s="138" t="str">
        <x:v>目标数据集零训练、零 checkpoint 调参</x:v>
      </x:c>
    </x:row>
    <x:row r="7" ht="34" customHeight="1">
      <x:c r="A7" s="134" t="str">
        <x:v>Oracle</x:v>
      </x:c>
      <x:c r="B7" s="138" t="str">
        <x:v>参考答案参与候选选择，只表示候选池上界</x:v>
      </x:c>
    </x:row>
    <x:row r="8" ht="34" customHeight="1">
      <x:c r="A8" s="134" t="str">
        <x:v>Leaked diagnostic</x:v>
      </x:c>
      <x:c r="B8" s="138" t="str">
        <x:v>测试参考、测试错误或测试派生词表影响系统，不可作为论文主结果</x:v>
      </x:c>
    </x:row>
    <x:row r="9" ht="34" customHeight="1">
      <x:c r="A9" s="134" t="str">
        <x:v>主汇总</x:v>
      </x:c>
      <x:c r="B9" s="138" t="str">
        <x:v>/root/autodl-tmp/RESULTS_ALL_DATASETS_20260826.md</x:v>
      </x:c>
    </x:row>
    <x:row r="10" ht="34" customHeight="1">
      <x:c r="A10" s="135" t="str">
        <x:v>机器可读源</x:v>
      </x:c>
      <x:c r="B10" s="139" t="str">
        <x:v>/root/autodl-tmp/RESULTS_ALL_DATASETS_20260826.csv</x:v>
      </x:c>
    </x:row>
  </x:sheetData>
  <x:pageMargins left="0.7" right="0.7" top="0.75" bottom="0.75" header="0.3" footer="0.3"/>
  <x:tableParts count="1">
    <x:tablePart xmlns:r="http://schemas.openxmlformats.org/officeDocument/2006/relationships" r:id="Ra860a7f268814855"/>
  </x:tableParts>
</x:worksheet>
</file>