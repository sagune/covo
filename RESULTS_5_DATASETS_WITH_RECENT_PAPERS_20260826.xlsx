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7f81168bf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4bef130aa9ee4fb0"/>
    <x:sheet xmlns:r="http://schemas.openxmlformats.org/officeDocument/2006/relationships" name="摘要" sheetId="2" r:id="Rf526844cf60141dc"/>
    <x:sheet xmlns:r="http://schemas.openxmlformats.org/officeDocument/2006/relationships" name="AISHELL" sheetId="3" r:id="Rd8a04a9280454aa7"/>
    <x:sheet xmlns:r="http://schemas.openxmlformats.org/officeDocument/2006/relationships" name="ST-CMDS" sheetId="4" r:id="R102f557da7934bf7"/>
    <x:sheet xmlns:r="http://schemas.openxmlformats.org/officeDocument/2006/relationships" name="MAGICDATA" sheetId="5" r:id="Rcd0532863ddf48f4"/>
    <x:sheet xmlns:r="http://schemas.openxmlformats.org/officeDocument/2006/relationships" name="THCHS-30" sheetId="6" r:id="R6008eaf0092a4276"/>
    <x:sheet xmlns:r="http://schemas.openxmlformats.org/officeDocument/2006/relationships" name="LibriSpeech" sheetId="7" r:id="R924e11cc45784f13"/>
    <x:sheet xmlns:r="http://schemas.openxmlformats.org/officeDocument/2006/relationships" name="说明与来源" sheetId="8" r:id="Rd8933275fb7e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%"/>
    <x:numFmt numFmtId="201" formatCode="0.0000"/>
    <x:numFmt numFmtId="202" formatCode="0.00%"/>
    <x:numFmt numFmtId="203" formatCode="#,##0"/>
    <x:numFmt numFmtId="204" formatCode="0"/>
  </x:numFmts>
  <x:fonts count="10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8"/>
      <x:color rgb="FF0F4C5C"/>
      <x:name val="Aptos Display"/>
    </x:font>
    <x:font>
      <x:sz val="10"/>
      <x:color rgb="FF475569"/>
      <x:name val="Aptos"/>
    </x:font>
    <x:font>
      <x:sz val="11"/>
      <x:color rgb="FF172033"/>
      <x:name val="Aptos"/>
    </x:font>
    <x:font>
      <x:b/>
      <x:sz val="10"/>
      <x:color rgb="FFFFFFFF"/>
      <x:name val="Aptos"/>
    </x:font>
    <x:font>
      <x:i/>
      <x:sz val="11"/>
      <x:color rgb="FF78350F"/>
      <x:name val="Carlito"/>
    </x:font>
    <x:font>
      <x:b/>
      <x:sz val="13"/>
      <x:color rgb="FF0F4C5C"/>
      <x:name val="Aptos Display"/>
    </x:font>
    <x:font>
      <x:b/>
      <x:sz val="11"/>
      <x:color rgb="FF0F4C5C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EF3C7"/>
      </x:patternFill>
    </x:fill>
    <x:fill>
      <x:patternFill patternType="solid">
        <x:fgColor rgb="FFDCEEF2"/>
      </x:patternFill>
    </x:fill>
  </x:fills>
  <x:borders count="12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medium">
        <x:color rgb="FF0B3540"/>
      </x:bottom>
    </x:border>
    <x:border>
      <x:bottom style="medium">
        <x:color rgb="FF0B3540"/>
      </x:bottom>
    </x:border>
    <x:border>
      <x:top style="thin">
        <x:color rgb="FFE2E8F0"/>
      </x:top>
    </x:border>
    <x:border>
      <x:top style="thin">
        <x:color rgb="FFE2E8F0"/>
      </x:top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11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vertical="center" wrapText="1"/>
    </x:xf>
    <x:xf numFmtId="0" fontId="6" fillId="2" borderId="9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10" xfId="0" applyNumberFormat="1" applyFont="1" applyFill="1" applyBorder="1" applyAlignment="1">
      <x:alignment vertical="center"/>
    </x:xf>
    <x:xf numFmtId="204" fontId="5" fillId="0" borderId="6" xfId="0" applyNumberFormat="1" applyFont="1" applyFill="1" applyBorder="1" applyAlignment="1">
      <x:alignment vertical="center"/>
    </x:xf>
    <x:xf numFmtId="204" fontId="5" fillId="0" borderId="1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vertical="top" wrapText="1"/>
    </x:xf>
    <x:xf numFmtId="0" fontId="6" fillId="2" borderId="9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horizontal="center" vertical="top" wrapText="1"/>
    </x:xf>
    <x:xf numFmtId="0" fontId="6" fillId="2" borderId="9" xfId="0" applyNumberFormat="1" applyFont="1" applyFill="1" applyBorder="1" applyAlignment="1">
      <x:alignment horizontal="center" vertical="top" wrapText="1"/>
    </x:xf>
    <x:xf numFmtId="204" fontId="1" fillId="0" borderId="3" xfId="0" applyNumberFormat="1" applyFont="1" applyFill="1" applyBorder="1" applyAlignment="1">
      <x:alignment vertical="top" wrapText="1"/>
    </x:xf>
    <x:xf numFmtId="204" fontId="1" fillId="0" borderId="4" xfId="0" applyNumberFormat="1" applyFont="1" applyFill="1" applyBorder="1" applyAlignment="1">
      <x:alignment vertical="top" wrapText="1"/>
    </x:xf>
    <x:xf numFmtId="204" fontId="1" fillId="0" borderId="6" xfId="0" applyNumberFormat="1" applyFont="1" applyFill="1" applyBorder="1" applyAlignment="1">
      <x:alignment vertical="top" wrapText="1"/>
    </x:xf>
    <x:xf numFmtId="204" fontId="1" fillId="0" borderId="7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5" fillId="2" borderId="5" xfId="0" applyNumberFormat="1" applyFont="1" applyFill="1" applyBorder="1" applyAlignment="1">
      <x:alignment vertical="top"/>
    </x:xf>
    <x:xf numFmtId="0" fontId="6" fillId="2" borderId="2" xfId="0" applyNumberFormat="1" applyFont="1" applyFill="1" applyBorder="1" applyAlignment="1">
      <x:alignment vertical="top"/>
    </x:xf>
    <x:xf numFmtId="0" fontId="6" fillId="2" borderId="5" xfId="0" applyNumberFormat="1" applyFont="1" applyFill="1" applyBorder="1" applyAlignment="1">
      <x:alignment vertical="top"/>
    </x:xf>
    <x:xf numFmtId="0" fontId="6" fillId="2" borderId="8" xfId="0" applyNumberFormat="1" applyFont="1" applyFill="1" applyBorder="1" applyAlignment="1">
      <x:alignment vertical="top"/>
    </x:xf>
    <x:xf numFmtId="0" fontId="6" fillId="2" borderId="9" xfId="0" applyNumberFormat="1" applyFont="1" applyFill="1" applyBorder="1" applyAlignment="1">
      <x:alignment vertical="top"/>
    </x:xf>
    <x:xf numFmtId="0" fontId="9" fillId="0" borderId="3" xfId="0" applyNumberFormat="1" applyFont="1" applyFill="1" applyBorder="1" applyAlignment="1">
      <x:alignment vertical="top"/>
    </x:xf>
    <x:xf numFmtId="0" fontId="9" fillId="0" borderId="10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11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cd659fdbc4c52" /><Relationship Type="http://schemas.openxmlformats.org/officeDocument/2006/relationships/theme" Target="/xl/theme/theme1.xml" Id="R370214aa01ad45a6" /><Relationship Type="http://schemas.openxmlformats.org/officeDocument/2006/relationships/sharedStrings" Target="/xl/sharedStrings.xml" Id="Rebac33c2a2d64e3a" /><Relationship Type="http://schemas.openxmlformats.org/officeDocument/2006/relationships/worksheet" Target="/xl/worksheets/sheet1.xml" Id="R4bef130aa9ee4fb0" /><Relationship Type="http://schemas.openxmlformats.org/officeDocument/2006/relationships/worksheet" Target="/xl/worksheets/sheet2.xml" Id="Rf526844cf60141dc" /><Relationship Type="http://schemas.openxmlformats.org/officeDocument/2006/relationships/worksheet" Target="/xl/worksheets/sheet3.xml" Id="Rd8a04a9280454aa7" /><Relationship Type="http://schemas.openxmlformats.org/officeDocument/2006/relationships/worksheet" Target="/xl/worksheets/sheet4.xml" Id="R102f557da7934bf7" /><Relationship Type="http://schemas.openxmlformats.org/officeDocument/2006/relationships/worksheet" Target="/xl/worksheets/sheet5.xml" Id="Rcd0532863ddf48f4" /><Relationship Type="http://schemas.openxmlformats.org/officeDocument/2006/relationships/worksheet" Target="/xl/worksheets/sheet6.xml" Id="R6008eaf0092a4276" /><Relationship Type="http://schemas.openxmlformats.org/officeDocument/2006/relationships/worksheet" Target="/xl/worksheets/sheet7.xml" Id="R924e11cc45784f13" /><Relationship Type="http://schemas.openxmlformats.org/officeDocument/2006/relationships/worksheet" Target="/xl/worksheets/sheet8.xml" Id="Rd8933275fb7e4cd3" /></Relationships>
</file>

<file path=xl/tables/table1.xml><?xml version="1.0" encoding="utf-8"?>
<x:table xmlns:x="http://schemas.openxmlformats.org/spreadsheetml/2006/main" id="1" name="ExperimentResultsTable" displayName="ExperimentResultsTable" ref="A1:P32" headerRowCount="1" totalsRowCount="0" totalsRowShown="0">
  <x:autoFilter ref="A1:P32"/>
  <x:tableColumns count="16">
    <x:tableColumn id="1" name="语言"/>
    <x:tableColumn id="2" name="数据集"/>
    <x:tableColumn id="3" name="范围"/>
    <x:tableColumn id="4" name="样本数"/>
    <x:tableColumn id="5" name="系统"/>
    <x:tableColumn id="6" name="Adapter / Checkpoint"/>
    <x:tableColumn id="7" name="指标"/>
    <x:tableColumn id="8" name="输入错误率"/>
    <x:tableColumn id="9" name="输出错误率"/>
    <x:tableColumn id="10" name="变化 (pp)"/>
    <x:tableColumn id="11" name="相对变化"/>
    <x:tableColumn id="12" name="Improved"/>
    <x:tableColumn id="13" name="Worsened"/>
    <x:tableColumn id="14" name="Unchanged"/>
    <x:tableColumn id="15" name="结果性质"/>
    <x:tableColumn id="16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ResultsTable" displayName="KeyResultsTable" ref="A4:H10" headerRowCount="1" totalsRowCount="0" totalsRowShown="0">
  <x:tableColumns count="8">
    <x:tableColumn id="1" name="数据集"/>
    <x:tableColumn id="2" name="范围"/>
    <x:tableColumn id="3" name="指标"/>
    <x:tableColumn id="4" name="输入错误率"/>
    <x:tableColumn id="5" name="输出错误率"/>
    <x:tableColumn id="6" name="相对变化"/>
    <x:tableColumn id="7" name="结果性质"/>
    <x:tableColumn id="8" name="可超越论文设置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wnResults1" displayName="OwnResults1" ref="A4:L9" headerRowCount="1" totalsRowCount="0" totalsRowShown="0">
  <x:autoFilter ref="A4:L9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perResults1" displayName="PaperResults1" ref="A13:L18" headerRowCount="1" totalsRowCount="0" totalsRowShown="0">
  <x:autoFilter ref="A13:L18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Results2" displayName="OwnResults2" ref="A4:L9" headerRowCount="1" totalsRowCount="0" totalsRowShown="0">
  <x:autoFilter ref="A4:L9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perResults2" displayName="PaperResults2" ref="A13:L28" headerRowCount="1" totalsRowCount="0" totalsRowShown="0">
  <x:autoFilter ref="A13:L28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wnResults3" displayName="OwnResults3" ref="A4:L8" headerRowCount="1" totalsRowCount="0" totalsRowShown="0">
  <x:autoFilter ref="A4:L8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perResults3" displayName="PaperResults3" ref="A12:L23" headerRowCount="1" totalsRowCount="0" totalsRowShown="0">
  <x:autoFilter ref="A12:L23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wnResults4" displayName="OwnResults4" ref="A4:L15" headerRowCount="1" totalsRowCount="0" totalsRowShown="0">
  <x:autoFilter ref="A4:L15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perResults4" displayName="PaperResults4" ref="A19:L22" headerRowCount="1" totalsRowCount="0" totalsRowShown="0">
  <x:autoFilter ref="A19:L22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wnResults5" displayName="OwnResults5" ref="A4:L10" headerRowCount="1" totalsRowCount="0" totalsRowShown="0">
  <x:autoFilter ref="A4:L10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perResults5" displayName="PaperResults5" ref="A14:L20" headerRowCount="1" totalsRowCount="0" totalsRowShown="0">
  <x:autoFilter ref="A14:L20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otesTable" displayName="NotesTable" ref="A1:B14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f54849475b4a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544ac4b04742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456a45834541ce" /><Relationship Type="http://schemas.openxmlformats.org/officeDocument/2006/relationships/table" Target="/xl/tables/table4.xml" Id="R75b40f1b0e6f44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ac69c4c48a84f96" /><Relationship Type="http://schemas.openxmlformats.org/officeDocument/2006/relationships/table" Target="/xl/tables/table6.xml" Id="Rcacc26b9c4fc4a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87fddf07cfbf4993" /><Relationship Type="http://schemas.openxmlformats.org/officeDocument/2006/relationships/table" Target="/xl/tables/table8.xml" Id="R1220e84142734a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d2c308c39d2f4562" /><Relationship Type="http://schemas.openxmlformats.org/officeDocument/2006/relationships/table" Target="/xl/tables/table10.xml" Id="R53a0d10a91fb4f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3f6b9efbaf514a9f" /><Relationship Type="http://schemas.openxmlformats.org/officeDocument/2006/relationships/table" Target="/xl/tables/table12.xml" Id="R86b27aed6ede44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365c089e286142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0" hidden="0" customWidth="1"/>
    <x:col min="5" max="5" width="42" hidden="0" customWidth="1"/>
    <x:col min="6" max="6" width="31" hidden="0" customWidth="1"/>
    <x:col min="7" max="7" width="10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1" hidden="0" customWidth="1"/>
    <x:col min="16" max="16" width="46" hidden="0" customWidth="1"/>
  </x:cols>
  <x:sheetData>
    <x:row r="1" ht="34" customHeight="1">
      <x:c r="A1" s="24" t="str">
        <x:v>语言</x:v>
      </x:c>
      <x:c r="B1" s="24" t="str">
        <x:v>数据集</x:v>
      </x:c>
      <x:c r="C1" s="24" t="str">
        <x:v>范围</x:v>
      </x:c>
      <x:c r="D1" s="24" t="str">
        <x:v>样本数</x:v>
      </x:c>
      <x:c r="E1" s="24" t="str">
        <x:v>系统</x:v>
      </x:c>
      <x:c r="F1" s="24" t="str">
        <x:v>Adapter / Checkpoint</x:v>
      </x:c>
      <x:c r="G1" s="24" t="str">
        <x:v>指标</x:v>
      </x:c>
      <x:c r="H1" s="24" t="str">
        <x:v>输入错误率</x:v>
      </x:c>
      <x:c r="I1" s="24" t="str">
        <x:v>输出错误率</x:v>
      </x:c>
      <x:c r="J1" s="24" t="str">
        <x:v>变化 (pp)</x:v>
      </x:c>
      <x:c r="K1" s="24" t="str">
        <x:v>相对变化</x:v>
      </x:c>
      <x:c r="L1" s="24" t="str">
        <x:v>Improved</x:v>
      </x:c>
      <x:c r="M1" s="24" t="str">
        <x:v>Worsened</x:v>
      </x:c>
      <x:c r="N1" s="24" t="str">
        <x:v>Unchanged</x:v>
      </x:c>
      <x:c r="O1" s="24" t="str">
        <x:v>结果性质</x:v>
      </x:c>
      <x:c r="P1" s="24" t="str">
        <x:v>说明</x:v>
      </x:c>
    </x:row>
    <x:row r="2" ht="38" customHeight="1">
      <x:c r="A2" s="11" t="str">
        <x:v>中文</x:v>
      </x:c>
      <x:c r="B2" s="11" t="str">
        <x:v>AISHELL-NE</x:v>
      </x:c>
      <x:c r="C2" s="11" t="str">
        <x:v>808 Full</x:v>
      </x:c>
      <x:c r="D2" s="38" t="n">
        <x:v>808</x:v>
      </x:c>
      <x:c r="E2" s="42" t="str">
        <x:v>CB-SenseVoice w14 + DPO-30 COVO</x:v>
      </x:c>
      <x:c r="F2" s="42" t="str">
        <x:v>DPO-30 4B</x:v>
      </x:c>
      <x:c r="G2" s="11" t="str">
        <x:v>CER</x:v>
      </x:c>
      <x:c r="H2" s="26" t="n">
        <x:v>0.103609</x:v>
      </x:c>
      <x:c r="I2" s="26" t="n">
        <x:v>0.031354</x:v>
      </x:c>
      <x:c r="J2" s="30" t="n">
        <x:f>(I2-H2)*100</x:f>
        <x:v>-7.225500000000001</x:v>
      </x:c>
      <x:c r="K2" s="34" t="n">
        <x:f>IFERROR(I2/H2-1,"")</x:f>
        <x:v>-0.6973815016070033</x:v>
      </x:c>
      <x:c r="L2" s="38"/>
      <x:c r="M2" s="38"/>
      <x:c r="N2" s="38"/>
      <x:c r="O2" s="42" t="str">
        <x:v>full_contextual_joint_main</x:v>
      </x:c>
      <x:c r="P2" s="42" t="str">
        <x:v>Recall@400=90.50%; R1 Recall@226=83.63%</x:v>
      </x:c>
    </x:row>
    <x:row r="3" ht="38" customHeight="1">
      <x:c r="A3" s="11" t="str">
        <x:v>中文</x:v>
      </x:c>
      <x:c r="B3" s="11" t="str">
        <x:v>AISHELL-1</x:v>
      </x:c>
      <x:c r="C3" s="11" t="str">
        <x:v>Full</x:v>
      </x:c>
      <x:c r="D3" s="38" t="n">
        <x:v>7176</x:v>
      </x:c>
      <x:c r="E3" s="42" t="str">
        <x:v>Routed SenseVoice / CB-SenseVoice w14 + DPO-30 COVO</x:v>
      </x:c>
      <x:c r="F3" s="42" t="str">
        <x:v>DPO-30 4B</x:v>
      </x:c>
      <x:c r="G3" s="11" t="str">
        <x:v>CER</x:v>
      </x:c>
      <x:c r="H3" s="26" t="n">
        <x:v>0.062922</x:v>
      </x:c>
      <x:c r="I3" s="26" t="n">
        <x:v>0.032062</x:v>
      </x:c>
      <x:c r="J3" s="30" t="n">
        <x:f>(I3-H3)*100</x:f>
        <x:v>-3.0860000000000007</x:v>
      </x:c>
      <x:c r="K3" s="34" t="n">
        <x:f>IFERROR(I3/H3-1,"")</x:f>
        <x:v>-0.49044849178347805</x:v>
      </x:c>
      <x:c r="L3" s="38"/>
      <x:c r="M3" s="38"/>
      <x:c r="N3" s="38"/>
      <x:c r="O3" s="42" t="str">
        <x:v>full_contextual</x:v>
      </x:c>
      <x:c r="P3" s="42" t="str">
        <x:v>808 contextual rows + 6368 bare SenseVoice rows</x:v>
      </x:c>
    </x:row>
    <x:row r="4" ht="38" customHeight="1">
      <x:c r="A4" s="11" t="str">
        <x:v>中文</x:v>
      </x:c>
      <x:c r="B4" s="11" t="str">
        <x:v>AISHELL-1</x:v>
      </x:c>
      <x:c r="C4" s="11" t="str">
        <x:v>test</x:v>
      </x:c>
      <x:c r="D4" s="38" t="n">
        <x:v>7174</x:v>
      </x:c>
      <x:c r="E4" s="42" t="str">
        <x:v>SenseVoice 10-best + Qwen3.5-9B</x:v>
      </x:c>
      <x:c r="F4" s="42" t="str">
        <x:v>AISHELL checkpoint-30022</x:v>
      </x:c>
      <x:c r="G4" s="11" t="str">
        <x:v>CER</x:v>
      </x:c>
      <x:c r="H4" s="26" t="n">
        <x:v>0.058353999999999996</x:v>
      </x:c>
      <x:c r="I4" s="26" t="n">
        <x:v>0.026231</x:v>
      </x:c>
      <x:c r="J4" s="30" t="n">
        <x:f>(I4-H4)*100</x:f>
        <x:v>-3.2123</x:v>
      </x:c>
      <x:c r="K4" s="34" t="n">
        <x:f>IFERROR(I4/H4-1,"")</x:f>
        <x:v>-0.550484971038832</x:v>
      </x:c>
      <x:c r="L4" s="38" t="n">
        <x:v>2425</x:v>
      </x:c>
      <x:c r="M4" s="38" t="n">
        <x:v>282</x:v>
      </x:c>
      <x:c r="N4" s="38" t="n">
        <x:v>4467</x:v>
      </x:c>
      <x:c r="O4" s="42" t="str">
        <x:v>full_held_out</x:v>
      </x:c>
      <x:c r="P4" s="42" t="str">
        <x:v>2 empty references skipped</x:v>
      </x:c>
    </x:row>
    <x:row r="5" ht="38" customHeight="1">
      <x:c r="A5" s="11" t="str">
        <x:v>中文</x:v>
      </x:c>
      <x:c r="B5" s="11" t="str">
        <x:v>AISHELL-1</x:v>
      </x:c>
      <x:c r="C5" s="11" t="str">
        <x:v>Full</x:v>
      </x:c>
      <x:c r="D5" s="38" t="n">
        <x:v>7176</x:v>
      </x:c>
      <x:c r="E5" s="42" t="str">
        <x:v>Error-targeted CB-SenseVoice + preserve2 COVO</x:v>
      </x:c>
      <x:c r="F5" s="42" t="str">
        <x:v>preserve2 4B</x:v>
      </x:c>
      <x:c r="G5" s="11" t="str">
        <x:v>CER</x:v>
      </x:c>
      <x:c r="H5" s="26" t="n">
        <x:v>0.026345</x:v>
      </x:c>
      <x:c r="I5" s="26" t="n">
        <x:v>0.018335999999999998</x:v>
      </x:c>
      <x:c r="J5" s="30" t="n">
        <x:f>(I5-H5)*100</x:f>
        <x:v>-0.8009000000000002</x:v>
      </x:c>
      <x:c r="K5" s="34" t="n">
        <x:f>IFERROR(I5/H5-1,"")</x:f>
        <x:v>-0.30400455494401224</x:v>
      </x:c>
      <x:c r="L5" s="38" t="n">
        <x:v>890</x:v>
      </x:c>
      <x:c r="M5" s="38" t="n">
        <x:v>198</x:v>
      </x:c>
      <x:c r="N5" s="38" t="n">
        <x:v>6088</x:v>
      </x:c>
      <x:c r="O5" s="42" t="str">
        <x:v>leaked_diagnostic</x:v>
      </x:c>
      <x:c r="P5" s="42" t="str">
        <x:v>test-reference/error-derived hotwords</x:v>
      </x:c>
    </x:row>
    <x:row r="6" ht="38" customHeight="1">
      <x:c r="A6" s="11" t="str">
        <x:v>中文</x:v>
      </x:c>
      <x:c r="B6" s="11" t="str">
        <x:v>AISHELL-1</x:v>
      </x:c>
      <x:c r="C6" s="11" t="str">
        <x:v>Full</x:v>
      </x:c>
      <x:c r="D6" s="38" t="n">
        <x:v>7176</x:v>
      </x:c>
      <x:c r="E6" s="42" t="str">
        <x:v>Error-targeted CB-SenseVoice + Qwen3.5-9B</x:v>
      </x:c>
      <x:c r="F6" s="42" t="str">
        <x:v>AISHELL checkpoint-30022</x:v>
      </x:c>
      <x:c r="G6" s="11" t="str">
        <x:v>CER</x:v>
      </x:c>
      <x:c r="H6" s="26" t="n">
        <x:v>0.026345</x:v>
      </x:c>
      <x:c r="I6" s="26" t="n">
        <x:v>0.01846</x:v>
      </x:c>
      <x:c r="J6" s="30" t="n">
        <x:f>(I6-H6)*100</x:f>
        <x:v>-0.7885</x:v>
      </x:c>
      <x:c r="K6" s="34" t="n">
        <x:f>IFERROR(I6/H6-1,"")</x:f>
        <x:v>-0.2992977794647941</x:v>
      </x:c>
      <x:c r="L6" s="38" t="n">
        <x:v>1150</x:v>
      </x:c>
      <x:c r="M6" s="38" t="n">
        <x:v>504</x:v>
      </x:c>
      <x:c r="N6" s="38" t="n">
        <x:v>5522</x:v>
      </x:c>
      <x:c r="O6" s="42" t="str">
        <x:v>leaked_diagnostic</x:v>
      </x:c>
      <x:c r="P6" s="42" t="str">
        <x:v>test-reference/error-derived hotwords</x:v>
      </x:c>
    </x:row>
    <x:row r="7" ht="38" customHeight="1">
      <x:c r="A7" s="11" t="str">
        <x:v>中文</x:v>
      </x:c>
      <x:c r="B7" s="11" t="str">
        <x:v>ST-CMDS</x:v>
      </x:c>
      <x:c r="C7" s="11" t="str">
        <x:v>test</x:v>
      </x:c>
      <x:c r="D7" s="38" t="n">
        <x:v>5130</x:v>
      </x:c>
      <x:c r="E7" s="42" t="str">
        <x:v>SenseVoice 10-best + Qwen3.5-9B</x:v>
      </x:c>
      <x:c r="F7" s="42" t="str">
        <x:v>ST-CMDS checkpoint-34400</x:v>
      </x:c>
      <x:c r="G7" s="11" t="str">
        <x:v>CER</x:v>
      </x:c>
      <x:c r="H7" s="26" t="n">
        <x:v>0.056407</x:v>
      </x:c>
      <x:c r="I7" s="26" t="n">
        <x:v>0.044994</x:v>
      </x:c>
      <x:c r="J7" s="30" t="n">
        <x:f>(I7-H7)*100</x:f>
        <x:v>-1.1413</x:v>
      </x:c>
      <x:c r="K7" s="34" t="n">
        <x:f>IFERROR(I7/H7-1,"")</x:f>
        <x:v>-0.20233304377116312</x:v>
      </x:c>
      <x:c r="L7" s="38" t="n">
        <x:v>828</x:v>
      </x:c>
      <x:c r="M7" s="38" t="n">
        <x:v>355</x:v>
      </x:c>
      <x:c r="N7" s="38" t="n">
        <x:v>3947</x:v>
      </x:c>
      <x:c r="O7" s="42" t="str">
        <x:v>full_held_out</x:v>
      </x:c>
      <x:c r="P7" s="42" t="str">
        <x:v>checkpoint selected on dev only</x:v>
      </x:c>
    </x:row>
    <x:row r="8" ht="38" customHeight="1">
      <x:c r="A8" s="11" t="str">
        <x:v>中文</x:v>
      </x:c>
      <x:c r="B8" s="11" t="str">
        <x:v>ST-CMDS</x:v>
      </x:c>
      <x:c r="C8" s="11" t="str">
        <x:v>Full</x:v>
      </x:c>
      <x:c r="D8" s="38" t="n">
        <x:v>5130</x:v>
      </x:c>
      <x:c r="E8" s="42" t="str">
        <x:v>Standard-3139 CB-SenseVoice + ChineseHP COVO</x:v>
      </x:c>
      <x:c r="F8" s="42" t="str">
        <x:v>historical 4B</x:v>
      </x:c>
      <x:c r="G8" s="11" t="str">
        <x:v>CER</x:v>
      </x:c>
      <x:c r="H8" s="26" t="n">
        <x:v>0.05792099999999999</x:v>
      </x:c>
      <x:c r="I8" s="26" t="n">
        <x:v>0.052757</x:v>
      </x:c>
      <x:c r="J8" s="30" t="n">
        <x:f>(I8-H8)*100</x:f>
        <x:v>-0.5163999999999995</x:v>
      </x:c>
      <x:c r="K8" s="34" t="n">
        <x:f>IFERROR(I8/H8-1,"")</x:f>
        <x:v>-0.08915591926934952</x:v>
      </x:c>
      <x:c r="L8" s="38" t="n">
        <x:v>541</x:v>
      </x:c>
      <x:c r="M8" s="38" t="n">
        <x:v>316</x:v>
      </x:c>
      <x:c r="N8" s="38" t="n">
        <x:v>4273</x:v>
      </x:c>
      <x:c r="O8" s="42" t="str">
        <x:v>full_contextual</x:v>
      </x:c>
      <x:c r="P8" s="42" t="str">
        <x:v>different input from naked 9B</x:v>
      </x:c>
    </x:row>
    <x:row r="9" ht="38" customHeight="1">
      <x:c r="A9" s="11" t="str">
        <x:v>中文</x:v>
      </x:c>
      <x:c r="B9" s="11" t="str">
        <x:v>ST-CMDS</x:v>
      </x:c>
      <x:c r="C9" s="11" t="str">
        <x:v>Full</x:v>
      </x:c>
      <x:c r="D9" s="38" t="n">
        <x:v>5130</x:v>
      </x:c>
      <x:c r="E9" s="42" t="str">
        <x:v>Standard-3139 CB-SenseVoice + Qwen3.5-9B</x:v>
      </x:c>
      <x:c r="F9" s="42" t="str">
        <x:v>ST-CMDS checkpoint-34400</x:v>
      </x:c>
      <x:c r="G9" s="11" t="str">
        <x:v>CER</x:v>
      </x:c>
      <x:c r="H9" s="26" t="n">
        <x:v>0.05792099999999999</x:v>
      </x:c>
      <x:c r="I9" s="26" t="n">
        <x:v>0.049054</x:v>
      </x:c>
      <x:c r="J9" s="30" t="n">
        <x:f>(I9-H9)*100</x:f>
        <x:v>-0.8866999999999993</x:v>
      </x:c>
      <x:c r="K9" s="34" t="n">
        <x:f>IFERROR(I9/H9-1,"")</x:f>
        <x:v>-0.153087826522332</x:v>
      </x:c>
      <x:c r="L9" s="38" t="n">
        <x:v>753</x:v>
      </x:c>
      <x:c r="M9" s="38" t="n">
        <x:v>388</x:v>
      </x:c>
      <x:c r="N9" s="38" t="n">
        <x:v>3989</x:v>
      </x:c>
      <x:c r="O9" s="42" t="str">
        <x:v>full_contextual</x:v>
      </x:c>
      <x:c r="P9" s="42" t="str">
        <x:v>different input from naked 9B</x:v>
      </x:c>
    </x:row>
    <x:row r="10" ht="38" customHeight="1">
      <x:c r="A10" s="11" t="str">
        <x:v>中文</x:v>
      </x:c>
      <x:c r="B10" s="11" t="str">
        <x:v>ST-CMDS</x:v>
      </x:c>
      <x:c r="C10" s="11" t="str">
        <x:v>Full</x:v>
      </x:c>
      <x:c r="D10" s="38" t="n">
        <x:v>5130</x:v>
      </x:c>
      <x:c r="E10" s="42" t="str">
        <x:v>Error-targeted CB-SenseVoice + ChineseHP COVO</x:v>
      </x:c>
      <x:c r="F10" s="42" t="str">
        <x:v>historical 4B</x:v>
      </x:c>
      <x:c r="G10" s="11" t="str">
        <x:v>CER</x:v>
      </x:c>
      <x:c r="H10" s="26" t="n">
        <x:v>0.044834</x:v>
      </x:c>
      <x:c r="I10" s="26" t="n">
        <x:v>0.046917</x:v>
      </x:c>
      <x:c r="J10" s="30" t="n">
        <x:f>(I10-H10)*100</x:f>
        <x:v>0.20830000000000015</x:v>
      </x:c>
      <x:c r="K10" s="34" t="n">
        <x:f>IFERROR(I10/H10-1,"")</x:f>
        <x:v>0.04646027568363298</x:v>
      </x:c>
      <x:c r="L10" s="38" t="n">
        <x:v>403</x:v>
      </x:c>
      <x:c r="M10" s="38" t="n">
        <x:v>495</x:v>
      </x:c>
      <x:c r="N10" s="38" t="n">
        <x:v>4232</x:v>
      </x:c>
      <x:c r="O10" s="42" t="str">
        <x:v>leaked_diagnostic</x:v>
      </x:c>
      <x:c r="P10" s="42" t="str">
        <x:v>test-reference/error-derived hotwords</x:v>
      </x:c>
    </x:row>
    <x:row r="11" ht="38" customHeight="1">
      <x:c r="A11" s="11" t="str">
        <x:v>中文</x:v>
      </x:c>
      <x:c r="B11" s="11" t="str">
        <x:v>ST-CMDS</x:v>
      </x:c>
      <x:c r="C11" s="11" t="str">
        <x:v>Full</x:v>
      </x:c>
      <x:c r="D11" s="38" t="n">
        <x:v>5130</x:v>
      </x:c>
      <x:c r="E11" s="42" t="str">
        <x:v>Error-targeted CB-SenseVoice + Qwen3.5-9B</x:v>
      </x:c>
      <x:c r="F11" s="42" t="str">
        <x:v>ST-CMDS checkpoint-34400</x:v>
      </x:c>
      <x:c r="G11" s="11" t="str">
        <x:v>CER</x:v>
      </x:c>
      <x:c r="H11" s="26" t="n">
        <x:v>0.044834</x:v>
      </x:c>
      <x:c r="I11" s="26" t="n">
        <x:v>0.044994</x:v>
      </x:c>
      <x:c r="J11" s="30" t="n">
        <x:f>(I11-H11)*100</x:f>
        <x:v>0.016000000000000042</x:v>
      </x:c>
      <x:c r="K11" s="34" t="n">
        <x:f>IFERROR(I11/H11-1,"")</x:f>
        <x:v>0.0035687201677299107</x:v>
      </x:c>
      <x:c r="L11" s="38" t="n">
        <x:v>447</x:v>
      </x:c>
      <x:c r="M11" s="38" t="n">
        <x:v>462</x:v>
      </x:c>
      <x:c r="N11" s="38" t="n">
        <x:v>4221</x:v>
      </x:c>
      <x:c r="O11" s="42" t="str">
        <x:v>leaked_diagnostic</x:v>
      </x:c>
      <x:c r="P11" s="42" t="str">
        <x:v>test-reference/error-derived hotwords</x:v>
      </x:c>
    </x:row>
    <x:row r="12" ht="38" customHeight="1">
      <x:c r="A12" s="11" t="str">
        <x:v>中文</x:v>
      </x:c>
      <x:c r="B12" s="11" t="str">
        <x:v>MAGICDATA-READ</x:v>
      </x:c>
      <x:c r="C12" s="11" t="str">
        <x:v>test</x:v>
      </x:c>
      <x:c r="D12" s="38" t="n">
        <x:v>24279</x:v>
      </x:c>
      <x:c r="E12" s="42" t="str">
        <x:v>WOITN SenseVoice 10-best + domain COVO</x:v>
      </x:c>
      <x:c r="F12" s="42" t="str">
        <x:v>checkpoint-18000 4B</x:v>
      </x:c>
      <x:c r="G12" s="11" t="str">
        <x:v>CER</x:v>
      </x:c>
      <x:c r="H12" s="26" t="n">
        <x:v>0.037245</x:v>
      </x:c>
      <x:c r="I12" s="26" t="n">
        <x:v>0.034672999999999995</x:v>
      </x:c>
      <x:c r="J12" s="30" t="n">
        <x:f>(I12-H12)*100</x:f>
        <x:v>-0.2572000000000005</x:v>
      </x:c>
      <x:c r="K12" s="34" t="n">
        <x:f>IFERROR(I12/H12-1,"")</x:f>
        <x:v>-0.06905624916096131</x:v>
      </x:c>
      <x:c r="L12" s="38" t="n">
        <x:v>1755</x:v>
      </x:c>
      <x:c r="M12" s="38" t="n">
        <x:v>1264</x:v>
      </x:c>
      <x:c r="N12" s="38" t="n">
        <x:v>21260</x:v>
      </x:c>
      <x:c r="O12" s="42" t="str">
        <x:v>full_held_out</x:v>
      </x:c>
      <x:c r="P12" s="42" t="str">
        <x:v>old domain-COVO protocol</x:v>
      </x:c>
    </x:row>
    <x:row r="13" ht="38" customHeight="1">
      <x:c r="A13" s="11" t="str">
        <x:v>中文</x:v>
      </x:c>
      <x:c r="B13" s="11" t="str">
        <x:v>MAGICDATA-READ</x:v>
      </x:c>
      <x:c r="C13" s="11" t="str">
        <x:v>test</x:v>
      </x:c>
      <x:c r="D13" s="38" t="n">
        <x:v>24279</x:v>
      </x:c>
      <x:c r="E13" s="42" t="str">
        <x:v>WOITN SenseVoice 10-best + original-style COVO</x:v>
      </x:c>
      <x:c r="F13" s="42" t="str">
        <x:v>checkpoint-20000 4B</x:v>
      </x:c>
      <x:c r="G13" s="11" t="str">
        <x:v>CER</x:v>
      </x:c>
      <x:c r="H13" s="26" t="n">
        <x:v>0.037245</x:v>
      </x:c>
      <x:c r="I13" s="26" t="n">
        <x:v>0.024902999999999998</x:v>
      </x:c>
      <x:c r="J13" s="30" t="n">
        <x:f>(I13-H13)*100</x:f>
        <x:v>-1.2342000000000002</x:v>
      </x:c>
      <x:c r="K13" s="34" t="n">
        <x:f>IFERROR(I13/H13-1,"")</x:f>
        <x:v>-0.33137333870318164</x:v>
      </x:c>
      <x:c r="L13" s="38" t="n">
        <x:v>3438</x:v>
      </x:c>
      <x:c r="M13" s="38" t="n">
        <x:v>1309</x:v>
      </x:c>
      <x:c r="N13" s="38" t="n">
        <x:v>19532</x:v>
      </x:c>
      <x:c r="O13" s="42" t="str">
        <x:v>full_held_out</x:v>
      </x:c>
      <x:c r="P13" s="42" t="str">
        <x:v>full test on 2026-08-07</x:v>
      </x:c>
    </x:row>
    <x:row r="14" ht="38" customHeight="1">
      <x:c r="A14" s="11" t="str">
        <x:v>中文</x:v>
      </x:c>
      <x:c r="B14" s="11" t="str">
        <x:v>MAGICDATA-READ</x:v>
      </x:c>
      <x:c r="C14" s="11" t="str">
        <x:v>test</x:v>
      </x:c>
      <x:c r="D14" s="38" t="n">
        <x:v>24279</x:v>
      </x:c>
      <x:c r="E14" s="42" t="str">
        <x:v>WOITN SenseVoice 10-best + Qwen3.5-9B</x:v>
      </x:c>
      <x:c r="F14" s="42" t="str">
        <x:v>MAGICDATA checkpoint-39185</x:v>
      </x:c>
      <x:c r="G14" s="11" t="str">
        <x:v>CER</x:v>
      </x:c>
      <x:c r="H14" s="26" t="n">
        <x:v>0.037245</x:v>
      </x:c>
      <x:c r="I14" s="26" t="n">
        <x:v>0.024333999999999998</x:v>
      </x:c>
      <x:c r="J14" s="30" t="n">
        <x:f>(I14-H14)*100</x:f>
        <x:v>-1.2911000000000001</x:v>
      </x:c>
      <x:c r="K14" s="34" t="n">
        <x:f>IFERROR(I14/H14-1,"")</x:f>
        <x:v>-0.3466505571217614</x:v>
      </x:c>
      <x:c r="L14" s="38" t="n">
        <x:v>3452</x:v>
      </x:c>
      <x:c r="M14" s="38" t="n">
        <x:v>1250</x:v>
      </x:c>
      <x:c r="N14" s="38" t="n">
        <x:v>19577</x:v>
      </x:c>
      <x:c r="O14" s="42" t="str">
        <x:v>full_held_out</x:v>
      </x:c>
      <x:c r="P14" s="42" t="str">
        <x:v>checkpoint selected on dev only</x:v>
      </x:c>
    </x:row>
    <x:row r="15" ht="38" customHeight="1">
      <x:c r="A15" s="11" t="str">
        <x:v>中文</x:v>
      </x:c>
      <x:c r="B15" s="11" t="str">
        <x:v>MAGICDATA-READ</x:v>
      </x:c>
      <x:c r="C15" s="11" t="str">
        <x:v>test</x:v>
      </x:c>
      <x:c r="D15" s="38" t="n">
        <x:v>24279</x:v>
      </x:c>
      <x:c r="E15" s="42" t="str">
        <x:v>OracleLex-6000 CB-SenseVoice + Qwen3.5-9B</x:v>
      </x:c>
      <x:c r="F15" s="42" t="str">
        <x:v>MAGICDATA checkpoint-39185</x:v>
      </x:c>
      <x:c r="G15" s="11" t="str">
        <x:v>CER</x:v>
      </x:c>
      <x:c r="H15" s="26" t="n">
        <x:v>0.037003</x:v>
      </x:c>
      <x:c r="I15" s="26" t="n">
        <x:v>0.027416</x:v>
      </x:c>
      <x:c r="J15" s="30" t="n">
        <x:f>(I15-H15)*100</x:f>
        <x:v>-0.9587000000000002</x:v>
      </x:c>
      <x:c r="K15" s="34" t="n">
        <x:f>IFERROR(I15/H15-1,"")</x:f>
        <x:v>-0.2590871010458612</x:v>
      </x:c>
      <x:c r="L15" s="38" t="n">
        <x:v>3080</x:v>
      </x:c>
      <x:c r="M15" s="38" t="n">
        <x:v>1388</x:v>
      </x:c>
      <x:c r="N15" s="38" t="n">
        <x:v>19811</x:v>
      </x:c>
      <x:c r="O15" s="42" t="str">
        <x:v>leaked_diagnostic</x:v>
      </x:c>
      <x:c r="P15" s="42" t="str">
        <x:v>6000-word vocabulary extracted from test references</x:v>
      </x:c>
    </x:row>
    <x:row r="16" ht="38" customHeight="1">
      <x:c r="A16" s="11" t="str">
        <x:v>中文</x:v>
      </x:c>
      <x:c r="B16" s="11" t="str">
        <x:v>THCHS-30</x:v>
      </x:c>
      <x:c r="C16" s="11" t="str">
        <x:v>test</x:v>
      </x:c>
      <x:c r="D16" s="38" t="n">
        <x:v>2495</x:v>
      </x:c>
      <x:c r="E16" s="42" t="str">
        <x:v>SenseVoice 10-best + acoustic-listwise COVO</x:v>
      </x:c>
      <x:c r="F16" s="42" t="str">
        <x:v>AISHELL acoustic 4B</x:v>
      </x:c>
      <x:c r="G16" s="11" t="str">
        <x:v>CER</x:v>
      </x:c>
      <x:c r="H16" s="26" t="n">
        <x:v>0.051664</x:v>
      </x:c>
      <x:c r="I16" s="26" t="n">
        <x:v>0.042175000000000004</x:v>
      </x:c>
      <x:c r="J16" s="30" t="n">
        <x:f>(I16-H16)*100</x:f>
        <x:v>-0.9488999999999997</x:v>
      </x:c>
      <x:c r="K16" s="34" t="n">
        <x:f>IFERROR(I16/H16-1,"")</x:f>
        <x:v>-0.18366754413130992</x:v>
      </x:c>
      <x:c r="L16" s="38" t="n">
        <x:v>792</x:v>
      </x:c>
      <x:c r="M16" s="38" t="n">
        <x:v>316</x:v>
      </x:c>
      <x:c r="N16" s="38" t="n">
        <x:v>1387</x:v>
      </x:c>
      <x:c r="O16" s="42" t="str">
        <x:v>full_cross_domain</x:v>
      </x:c>
      <x:c r="P16" s="42" t="str">
        <x:v>no THCHS-30 training</x:v>
      </x:c>
    </x:row>
    <x:row r="17" ht="38" customHeight="1">
      <x:c r="A17" s="11" t="str">
        <x:v>中文</x:v>
      </x:c>
      <x:c r="B17" s="11" t="str">
        <x:v>THCHS-30</x:v>
      </x:c>
      <x:c r="C17" s="11" t="str">
        <x:v>test</x:v>
      </x:c>
      <x:c r="D17" s="38" t="n">
        <x:v>2495</x:v>
      </x:c>
      <x:c r="E17" s="42" t="str">
        <x:v>SenseVoice 10-best + original-style COVO</x:v>
      </x:c>
      <x:c r="F17" s="42" t="str">
        <x:v>MAGICDATA checkpoint-20000 4B</x:v>
      </x:c>
      <x:c r="G17" s="11" t="str">
        <x:v>CER</x:v>
      </x:c>
      <x:c r="H17" s="26" t="n">
        <x:v>0.051664</x:v>
      </x:c>
      <x:c r="I17" s="26" t="n">
        <x:v>0.047535999999999995</x:v>
      </x:c>
      <x:c r="J17" s="30" t="n">
        <x:f>(I17-H17)*100</x:f>
        <x:v>-0.41280000000000067</x:v>
      </x:c>
      <x:c r="K17" s="34" t="n">
        <x:f>IFERROR(I17/H17-1,"")</x:f>
        <x:v>-0.07990089811087031</x:v>
      </x:c>
      <x:c r="L17" s="38" t="n">
        <x:v>683</x:v>
      </x:c>
      <x:c r="M17" s="38" t="n">
        <x:v>502</x:v>
      </x:c>
      <x:c r="N17" s="38" t="n">
        <x:v>1310</x:v>
      </x:c>
      <x:c r="O17" s="42" t="str">
        <x:v>full_cross_domain</x:v>
      </x:c>
      <x:c r="P17" s="42" t="str">
        <x:v>no THCHS-30 training</x:v>
      </x:c>
    </x:row>
    <x:row r="18" ht="38" customHeight="1">
      <x:c r="A18" s="11" t="str">
        <x:v>中文</x:v>
      </x:c>
      <x:c r="B18" s="11" t="str">
        <x:v>THCHS-30</x:v>
      </x:c>
      <x:c r="C18" s="11" t="str">
        <x:v>test</x:v>
      </x:c>
      <x:c r="D18" s="38" t="n">
        <x:v>2495</x:v>
      </x:c>
      <x:c r="E18" s="42" t="str">
        <x:v>CB-SenseVoice-style bridge + COVO</x:v>
      </x:c>
      <x:c r="F18" s="42" t="str">
        <x:v>MAGICDATA checkpoint-20000 4B</x:v>
      </x:c>
      <x:c r="G18" s="11" t="str">
        <x:v>CER</x:v>
      </x:c>
      <x:c r="H18" s="26" t="n">
        <x:v>0.051664</x:v>
      </x:c>
      <x:c r="I18" s="26" t="n">
        <x:v>0.047215</x:v>
      </x:c>
      <x:c r="J18" s="30" t="n">
        <x:f>(I18-H18)*100</x:f>
        <x:v>-0.4449000000000002</x:v>
      </x:c>
      <x:c r="K18" s="34" t="n">
        <x:f>IFERROR(I18/H18-1,"")</x:f>
        <x:v>-0.08611412201920099</x:v>
      </x:c>
      <x:c r="L18" s="38" t="n">
        <x:v>647</x:v>
      </x:c>
      <x:c r="M18" s="38" t="n">
        <x:v>461</x:v>
      </x:c>
      <x:c r="N18" s="38" t="n">
        <x:v>1387</x:v>
      </x:c>
      <x:c r="O18" s="42" t="str">
        <x:v>full_cross_domain</x:v>
      </x:c>
      <x:c r="P18" s="42" t="str">
        <x:v>no THCHS-30 tuning</x:v>
      </x:c>
    </x:row>
    <x:row r="19" ht="38" customHeight="1">
      <x:c r="A19" s="11" t="str">
        <x:v>中文</x:v>
      </x:c>
      <x:c r="B19" s="11" t="str">
        <x:v>THCHS-30</x:v>
      </x:c>
      <x:c r="C19" s="11" t="str">
        <x:v>test</x:v>
      </x:c>
      <x:c r="D19" s="38" t="n">
        <x:v>2495</x:v>
      </x:c>
      <x:c r="E19" s="42" t="str">
        <x:v>SenseVoice 10-best + Qwen3.5-9B</x:v>
      </x:c>
      <x:c r="F19" s="42" t="str">
        <x:v>MAGICDATA checkpoint-39185</x:v>
      </x:c>
      <x:c r="G19" s="11" t="str">
        <x:v>CER</x:v>
      </x:c>
      <x:c r="H19" s="26" t="n">
        <x:v>0.051664</x:v>
      </x:c>
      <x:c r="I19" s="26" t="n">
        <x:v>0.04402300000000001</x:v>
      </x:c>
      <x:c r="J19" s="30" t="n">
        <x:f>(I19-H19)*100</x:f>
        <x:v>-0.7640999999999996</x:v>
      </x:c>
      <x:c r="K19" s="34" t="n">
        <x:f>IFERROR(I19/H19-1,"")</x:f>
        <x:v>-0.14789795602353661</x:v>
      </x:c>
      <x:c r="L19" s="38" t="n">
        <x:v>735</x:v>
      </x:c>
      <x:c r="M19" s="38" t="n">
        <x:v>413</x:v>
      </x:c>
      <x:c r="N19" s="38" t="n">
        <x:v>1347</x:v>
      </x:c>
      <x:c r="O19" s="42" t="str">
        <x:v>full_cross_domain</x:v>
      </x:c>
      <x:c r="P19" s="42" t="str">
        <x:v>no THCHS-30 training</x:v>
      </x:c>
    </x:row>
    <x:row r="20" ht="38" customHeight="1">
      <x:c r="A20" s="11" t="str">
        <x:v>中文</x:v>
      </x:c>
      <x:c r="B20" s="11" t="str">
        <x:v>THCHS-30</x:v>
      </x:c>
      <x:c r="C20" s="11" t="str">
        <x:v>test</x:v>
      </x:c>
      <x:c r="D20" s="38" t="n">
        <x:v>2495</x:v>
      </x:c>
      <x:c r="E20" s="42" t="str">
        <x:v>SenseVoice 10-best + Qwen3.5-9B</x:v>
      </x:c>
      <x:c r="F20" s="42" t="str">
        <x:v>ST-CMDS checkpoint-34400</x:v>
      </x:c>
      <x:c r="G20" s="11" t="str">
        <x:v>CER</x:v>
      </x:c>
      <x:c r="H20" s="26" t="n">
        <x:v>0.051664</x:v>
      </x:c>
      <x:c r="I20" s="26" t="n">
        <x:v>0.043358</x:v>
      </x:c>
      <x:c r="J20" s="30" t="n">
        <x:f>(I20-H20)*100</x:f>
        <x:v>-0.8306000000000001</x:v>
      </x:c>
      <x:c r="K20" s="34" t="n">
        <x:f>IFERROR(I20/H20-1,"")</x:f>
        <x:v>-0.1607695881077733</x:v>
      </x:c>
      <x:c r="L20" s="38" t="n">
        <x:v>662</x:v>
      </x:c>
      <x:c r="M20" s="38" t="n">
        <x:v>243</x:v>
      </x:c>
      <x:c r="N20" s="38" t="n">
        <x:v>1590</x:v>
      </x:c>
      <x:c r="O20" s="42" t="str">
        <x:v>full_cross_domain</x:v>
      </x:c>
      <x:c r="P20" s="42" t="str">
        <x:v>no THCHS-30 training</x:v>
      </x:c>
    </x:row>
    <x:row r="21" ht="38" customHeight="1">
      <x:c r="A21" s="11" t="str">
        <x:v>中文</x:v>
      </x:c>
      <x:c r="B21" s="11" t="str">
        <x:v>THCHS-30</x:v>
      </x:c>
      <x:c r="C21" s="11" t="str">
        <x:v>test</x:v>
      </x:c>
      <x:c r="D21" s="38" t="n">
        <x:v>2495</x:v>
      </x:c>
      <x:c r="E21" s="42" t="str">
        <x:v>SenseVoice 10-best + Qwen3.5-9B</x:v>
      </x:c>
      <x:c r="F21" s="42" t="str">
        <x:v>AISHELL checkpoint-30022</x:v>
      </x:c>
      <x:c r="G21" s="11" t="str">
        <x:v>CER</x:v>
      </x:c>
      <x:c r="H21" s="26" t="n">
        <x:v>0.051664</x:v>
      </x:c>
      <x:c r="I21" s="26" t="n">
        <x:v>0.043111</x:v>
      </x:c>
      <x:c r="J21" s="30" t="n">
        <x:f>(I21-H21)*100</x:f>
        <x:v>-0.8553000000000005</x:v>
      </x:c>
      <x:c r="K21" s="34" t="n">
        <x:f>IFERROR(I21/H21-1,"")</x:f>
        <x:v>-0.16555048002477557</x:v>
      </x:c>
      <x:c r="L21" s="38" t="n">
        <x:v>813</x:v>
      </x:c>
      <x:c r="M21" s="38" t="n">
        <x:v>415</x:v>
      </x:c>
      <x:c r="N21" s="38" t="n">
        <x:v>1267</x:v>
      </x:c>
      <x:c r="O21" s="42" t="str">
        <x:v>full_cross_domain</x:v>
      </x:c>
      <x:c r="P21" s="42" t="str">
        <x:v>best full cross-domain result; no THCHS-30 training</x:v>
      </x:c>
    </x:row>
    <x:row r="22" ht="38" customHeight="1">
      <x:c r="A22" s="11" t="str">
        <x:v>中文</x:v>
      </x:c>
      <x:c r="B22" s="11" t="str">
        <x:v>THCHS-30</x:v>
      </x:c>
      <x:c r="C22" s="11" t="str">
        <x:v>test</x:v>
      </x:c>
      <x:c r="D22" s="38" t="n">
        <x:v>2495</x:v>
      </x:c>
      <x:c r="E22" s="42" t="str">
        <x:v>Error-targeted CB-SenseVoice + COVO</x:v>
      </x:c>
      <x:c r="F22" s="42" t="str">
        <x:v>MAGICDATA checkpoint-20000 4B</x:v>
      </x:c>
      <x:c r="G22" s="11" t="str">
        <x:v>CER</x:v>
      </x:c>
      <x:c r="H22" s="26" t="n">
        <x:v>0.034681000000000003</x:v>
      </x:c>
      <x:c r="I22" s="26" t="n">
        <x:v>0.036986</x:v>
      </x:c>
      <x:c r="J22" s="30" t="n">
        <x:f>(I22-H22)*100</x:f>
        <x:v>0.23049999999999946</x:v>
      </x:c>
      <x:c r="K22" s="34" t="n">
        <x:f>IFERROR(I22/H22-1,"")</x:f>
        <x:v>0.06646290476053163</x:v>
      </x:c>
      <x:c r="L22" s="38" t="n">
        <x:v>380</x:v>
      </x:c>
      <x:c r="M22" s="38" t="n">
        <x:v>507</x:v>
      </x:c>
      <x:c r="N22" s="38" t="n">
        <x:v>1608</x:v>
      </x:c>
      <x:c r="O22" s="42" t="str">
        <x:v>leaked_diagnostic</x:v>
      </x:c>
      <x:c r="P22" s="42" t="str">
        <x:v>test-reference/error-derived hotwords</x:v>
      </x:c>
    </x:row>
    <x:row r="23" ht="38" customHeight="1">
      <x:c r="A23" s="11" t="str">
        <x:v>中文</x:v>
      </x:c>
      <x:c r="B23" s="11" t="str">
        <x:v>THCHS-30</x:v>
      </x:c>
      <x:c r="C23" s="11" t="str">
        <x:v>test</x:v>
      </x:c>
      <x:c r="D23" s="38" t="n">
        <x:v>2495</x:v>
      </x:c>
      <x:c r="E23" s="42" t="str">
        <x:v>Error-targeted CB-SenseVoice + acoustic-listwise COVO</x:v>
      </x:c>
      <x:c r="F23" s="42" t="str">
        <x:v>AISHELL acoustic 4B</x:v>
      </x:c>
      <x:c r="G23" s="11" t="str">
        <x:v>CER</x:v>
      </x:c>
      <x:c r="H23" s="26" t="n">
        <x:v>0.034681000000000003</x:v>
      </x:c>
      <x:c r="I23" s="26" t="n">
        <x:v>0.030898</x:v>
      </x:c>
      <x:c r="J23" s="30" t="n">
        <x:f>(I23-H23)*100</x:f>
        <x:v>-0.3783000000000005</x:v>
      </x:c>
      <x:c r="K23" s="34" t="n">
        <x:f>IFERROR(I23/H23-1,"")</x:f>
        <x:v>-0.10907989965687281</x:v>
      </x:c>
      <x:c r="L23" s="38" t="n">
        <x:v>405</x:v>
      </x:c>
      <x:c r="M23" s="38" t="n">
        <x:v>185</x:v>
      </x:c>
      <x:c r="N23" s="38" t="n">
        <x:v>1905</x:v>
      </x:c>
      <x:c r="O23" s="42" t="str">
        <x:v>leaked_diagnostic</x:v>
      </x:c>
      <x:c r="P23" s="42" t="str">
        <x:v>lowest observed but not held-out</x:v>
      </x:c>
    </x:row>
    <x:row r="24" ht="38" customHeight="1">
      <x:c r="A24" s="11" t="str">
        <x:v>中文</x:v>
      </x:c>
      <x:c r="B24" s="11" t="str">
        <x:v>THCHS-30</x:v>
      </x:c>
      <x:c r="C24" s="11" t="str">
        <x:v>test</x:v>
      </x:c>
      <x:c r="D24" s="38" t="n">
        <x:v>2495</x:v>
      </x:c>
      <x:c r="E24" s="42" t="str">
        <x:v>Error-targeted CB-SenseVoice + Qwen3.5-9B</x:v>
      </x:c>
      <x:c r="F24" s="42" t="str">
        <x:v>MAGICDATA checkpoint-39185</x:v>
      </x:c>
      <x:c r="G24" s="11" t="str">
        <x:v>CER</x:v>
      </x:c>
      <x:c r="H24" s="26" t="n">
        <x:v>0.034681000000000003</x:v>
      </x:c>
      <x:c r="I24" s="26" t="n">
        <x:v>0.034176000000000005</x:v>
      </x:c>
      <x:c r="J24" s="30" t="n">
        <x:f>(I24-H24)*100</x:f>
        <x:v>-0.05049999999999985</x:v>
      </x:c>
      <x:c r="K24" s="34" t="n">
        <x:f>IFERROR(I24/H24-1,"")</x:f>
        <x:v>-0.014561287160116398</x:v>
      </x:c>
      <x:c r="L24" s="38" t="n">
        <x:v>437</x:v>
      </x:c>
      <x:c r="M24" s="38" t="n">
        <x:v>433</x:v>
      </x:c>
      <x:c r="N24" s="38" t="n">
        <x:v>1625</x:v>
      </x:c>
      <x:c r="O24" s="42" t="str">
        <x:v>leaked_diagnostic</x:v>
      </x:c>
      <x:c r="P24" s="42" t="str">
        <x:v>test-reference/error-derived hotwords</x:v>
      </x:c>
    </x:row>
    <x:row r="25" ht="38" customHeight="1">
      <x:c r="A25" s="11" t="str">
        <x:v>中文</x:v>
      </x:c>
      <x:c r="B25" s="11" t="str">
        <x:v>THCHS-30</x:v>
      </x:c>
      <x:c r="C25" s="11" t="str">
        <x:v>test</x:v>
      </x:c>
      <x:c r="D25" s="38" t="n">
        <x:v>2495</x:v>
      </x:c>
      <x:c r="E25" s="42" t="str">
        <x:v>Error-targeted CB-SenseVoice + Qwen3.5-9B</x:v>
      </x:c>
      <x:c r="F25" s="42" t="str">
        <x:v>ST-CMDS checkpoint-34400</x:v>
      </x:c>
      <x:c r="G25" s="11" t="str">
        <x:v>CER</x:v>
      </x:c>
      <x:c r="H25" s="26" t="n">
        <x:v>0.034681000000000003</x:v>
      </x:c>
      <x:c r="I25" s="26" t="n">
        <x:v>0.032931</x:v>
      </x:c>
      <x:c r="J25" s="30" t="n">
        <x:f>(I25-H25)*100</x:f>
        <x:v>-0.17500000000000016</x:v>
      </x:c>
      <x:c r="K25" s="34" t="n">
        <x:f>IFERROR(I25/H25-1,"")</x:f>
        <x:v>-0.05045990600040373</x:v>
      </x:c>
      <x:c r="L25" s="38" t="n">
        <x:v>329</x:v>
      </x:c>
      <x:c r="M25" s="38" t="n">
        <x:v>214</x:v>
      </x:c>
      <x:c r="N25" s="38" t="n">
        <x:v>1952</x:v>
      </x:c>
      <x:c r="O25" s="42" t="str">
        <x:v>leaked_diagnostic</x:v>
      </x:c>
      <x:c r="P25" s="42" t="str">
        <x:v>best CB-Sense + 9B result</x:v>
      </x:c>
    </x:row>
    <x:row r="26" ht="38" customHeight="1">
      <x:c r="A26" s="11" t="str">
        <x:v>中文</x:v>
      </x:c>
      <x:c r="B26" s="11" t="str">
        <x:v>THCHS-30</x:v>
      </x:c>
      <x:c r="C26" s="11" t="str">
        <x:v>test</x:v>
      </x:c>
      <x:c r="D26" s="38" t="n">
        <x:v>2495</x:v>
      </x:c>
      <x:c r="E26" s="42" t="str">
        <x:v>Error-targeted CB-SenseVoice + Qwen3.5-9B</x:v>
      </x:c>
      <x:c r="F26" s="42" t="str">
        <x:v>AISHELL checkpoint-30022</x:v>
      </x:c>
      <x:c r="G26" s="11" t="str">
        <x:v>CER</x:v>
      </x:c>
      <x:c r="H26" s="26" t="n">
        <x:v>0.034681000000000003</x:v>
      </x:c>
      <x:c r="I26" s="26" t="n">
        <x:v>0.034804</x:v>
      </x:c>
      <x:c r="J26" s="30" t="n">
        <x:f>(I26-H26)*100</x:f>
        <x:v>0.012299999999999811</x:v>
      </x:c>
      <x:c r="K26" s="34" t="n">
        <x:f>IFERROR(I26/H26-1,"")</x:f>
        <x:v>0.0035466105360282274</x:v>
      </x:c>
      <x:c r="L26" s="38" t="n">
        <x:v>472</x:v>
      </x:c>
      <x:c r="M26" s="38" t="n">
        <x:v>464</x:v>
      </x:c>
      <x:c r="N26" s="38" t="n">
        <x:v>1559</x:v>
      </x:c>
      <x:c r="O26" s="42" t="str">
        <x:v>leaked_diagnostic</x:v>
      </x:c>
      <x:c r="P26" s="42" t="str">
        <x:v>slight regression</x:v>
      </x:c>
    </x:row>
    <x:row r="27" ht="38" customHeight="1">
      <x:c r="A27" s="11" t="str">
        <x:v>英文</x:v>
      </x:c>
      <x:c r="B27" s="11" t="str">
        <x:v>LibriSpeech</x:v>
      </x:c>
      <x:c r="C27" s="11" t="str">
        <x:v>dev-clean</x:v>
      </x:c>
      <x:c r="D27" s="38" t="n">
        <x:v>2703</x:v>
      </x:c>
      <x:c r="E27" s="42" t="str">
        <x:v>SenseVoice 10-best + Qwen3.5-9B</x:v>
      </x:c>
      <x:c r="F27" s="42" t="str">
        <x:v>final 2-epoch adapter</x:v>
      </x:c>
      <x:c r="G27" s="11" t="str">
        <x:v>WER</x:v>
      </x:c>
      <x:c r="H27" s="26" t="n">
        <x:v>0.033804</x:v>
      </x:c>
      <x:c r="I27" s="26" t="n">
        <x:v>0.026046999999999997</x:v>
      </x:c>
      <x:c r="J27" s="30" t="n">
        <x:f>(I27-H27)*100</x:f>
        <x:v>-0.7757000000000004</x:v>
      </x:c>
      <x:c r="K27" s="34" t="n">
        <x:f>IFERROR(I27/H27-1,"")</x:f>
        <x:v>-0.229469885220684</x:v>
      </x:c>
      <x:c r="L27" s="38" t="n">
        <x:v>506</x:v>
      </x:c>
      <x:c r="M27" s="38" t="n">
        <x:v>213</x:v>
      </x:c>
      <x:c r="N27" s="38" t="n">
        <x:v>1984</x:v>
      </x:c>
      <x:c r="O27" s="42" t="str">
        <x:v>full_dev</x:v>
      </x:c>
      <x:c r="P27" s="42" t="str">
        <x:v>character CER 1.2998% to 1.0641%</x:v>
      </x:c>
    </x:row>
    <x:row r="28" ht="38" customHeight="1">
      <x:c r="A28" s="11" t="str">
        <x:v>英文</x:v>
      </x:c>
      <x:c r="B28" s="11" t="str">
        <x:v>LibriSpeech</x:v>
      </x:c>
      <x:c r="C28" s="11" t="str">
        <x:v>dev-other</x:v>
      </x:c>
      <x:c r="D28" s="38" t="n">
        <x:v>2864</x:v>
      </x:c>
      <x:c r="E28" s="42" t="str">
        <x:v>SenseVoice 10-best + Qwen3.5-9B</x:v>
      </x:c>
      <x:c r="F28" s="42" t="str">
        <x:v>final 2-epoch adapter</x:v>
      </x:c>
      <x:c r="G28" s="11" t="str">
        <x:v>WER</x:v>
      </x:c>
      <x:c r="H28" s="26" t="n">
        <x:v>0.07011099999999999</x:v>
      </x:c>
      <x:c r="I28" s="26" t="n">
        <x:v>0.055881</x:v>
      </x:c>
      <x:c r="J28" s="30" t="n">
        <x:f>(I28-H28)*100</x:f>
        <x:v>-1.4229999999999992</x:v>
      </x:c>
      <x:c r="K28" s="34" t="n">
        <x:f>IFERROR(I28/H28-1,"")</x:f>
        <x:v>-0.20296387157507367</x:v>
      </x:c>
      <x:c r="L28" s="38" t="n">
        <x:v>730</x:v>
      </x:c>
      <x:c r="M28" s="38" t="n">
        <x:v>240</x:v>
      </x:c>
      <x:c r="N28" s="38" t="n">
        <x:v>1894</x:v>
      </x:c>
      <x:c r="O28" s="42" t="str">
        <x:v>full_dev</x:v>
      </x:c>
      <x:c r="P28" s="42" t="str">
        <x:v>character CER 3.4088% to 2.9476%</x:v>
      </x:c>
    </x:row>
    <x:row r="29" ht="38" customHeight="1">
      <x:c r="A29" s="11" t="str">
        <x:v>英文</x:v>
      </x:c>
      <x:c r="B29" s="11" t="str">
        <x:v>LibriSpeech</x:v>
      </x:c>
      <x:c r="C29" s="11" t="str">
        <x:v>test-clean</x:v>
      </x:c>
      <x:c r="D29" s="38" t="n">
        <x:v>2620</x:v>
      </x:c>
      <x:c r="E29" s="42" t="str">
        <x:v>SenseVoice 10-best oracle</x:v>
      </x:c>
      <x:c r="F29" s="42" t="str"/>
      <x:c r="G29" s="11" t="str">
        <x:v>WER</x:v>
      </x:c>
      <x:c r="H29" s="26" t="n">
        <x:v>0.032277</x:v>
      </x:c>
      <x:c r="I29" s="26" t="n">
        <x:v>0.017517</x:v>
      </x:c>
      <x:c r="J29" s="30" t="n">
        <x:f>(I29-H29)*100</x:f>
        <x:v>-1.476</x:v>
      </x:c>
      <x:c r="K29" s="34" t="n">
        <x:f>IFERROR(I29/H29-1,"")</x:f>
        <x:v>-0.45729156984849895</x:v>
      </x:c>
      <x:c r="L29" s="38"/>
      <x:c r="M29" s="38"/>
      <x:c r="N29" s="38"/>
      <x:c r="O29" s="42" t="str">
        <x:v>oracle</x:v>
      </x:c>
      <x:c r="P29" s="42" t="str">
        <x:v>candidate-pool upper bound only</x:v>
      </x:c>
    </x:row>
    <x:row r="30" ht="38" customHeight="1">
      <x:c r="A30" s="11" t="str">
        <x:v>英文</x:v>
      </x:c>
      <x:c r="B30" s="11" t="str">
        <x:v>LibriSpeech</x:v>
      </x:c>
      <x:c r="C30" s="11" t="str">
        <x:v>test-clean</x:v>
      </x:c>
      <x:c r="D30" s="38" t="n">
        <x:v>2620</x:v>
      </x:c>
      <x:c r="E30" s="42" t="str">
        <x:v>SenseVoice 10-best + Qwen3.5-9B</x:v>
      </x:c>
      <x:c r="F30" s="42" t="str">
        <x:v>final 2-epoch adapter</x:v>
      </x:c>
      <x:c r="G30" s="11" t="str">
        <x:v>WER</x:v>
      </x:c>
      <x:c r="H30" s="26" t="n">
        <x:v>0.032277</x:v>
      </x:c>
      <x:c r="I30" s="26" t="n">
        <x:v>0.026419</x:v>
      </x:c>
      <x:c r="J30" s="30" t="n">
        <x:f>(I30-H30)*100</x:f>
        <x:v>-0.5857999999999999</x:v>
      </x:c>
      <x:c r="K30" s="34" t="n">
        <x:f>IFERROR(I30/H30-1,"")</x:f>
        <x:v>-0.18149146451033238</x:v>
      </x:c>
      <x:c r="L30" s="38" t="n">
        <x:v>445</x:v>
      </x:c>
      <x:c r="M30" s="38" t="n">
        <x:v>208</x:v>
      </x:c>
      <x:c r="N30" s="38" t="n">
        <x:v>1967</x:v>
      </x:c>
      <x:c r="O30" s="42" t="str">
        <x:v>full_test</x:v>
      </x:c>
      <x:c r="P30" s="42" t="str">
        <x:v>character CER 1.2237% to 1.0258%</x:v>
      </x:c>
    </x:row>
    <x:row r="31" ht="38" customHeight="1">
      <x:c r="A31" s="11" t="str">
        <x:v>英文</x:v>
      </x:c>
      <x:c r="B31" s="11" t="str">
        <x:v>LibriSpeech</x:v>
      </x:c>
      <x:c r="C31" s="11" t="str">
        <x:v>test-other</x:v>
      </x:c>
      <x:c r="D31" s="38" t="n">
        <x:v>2939</x:v>
      </x:c>
      <x:c r="E31" s="42" t="str">
        <x:v>SenseVoice 10-best oracle</x:v>
      </x:c>
      <x:c r="F31" s="42" t="str"/>
      <x:c r="G31" s="11" t="str">
        <x:v>WER</x:v>
      </x:c>
      <x:c r="H31" s="26" t="n">
        <x:v>0.072789</x:v>
      </x:c>
      <x:c r="I31" s="26" t="n">
        <x:v>0.049061</x:v>
      </x:c>
      <x:c r="J31" s="30" t="n">
        <x:f>(I31-H31)*100</x:f>
        <x:v>-2.3728000000000007</x:v>
      </x:c>
      <x:c r="K31" s="34" t="n">
        <x:f>IFERROR(I31/H31-1,"")</x:f>
        <x:v>-0.32598332165574473</x:v>
      </x:c>
      <x:c r="L31" s="38"/>
      <x:c r="M31" s="38"/>
      <x:c r="N31" s="38"/>
      <x:c r="O31" s="42" t="str">
        <x:v>oracle</x:v>
      </x:c>
      <x:c r="P31" s="42" t="str">
        <x:v>candidate-pool upper bound only</x:v>
      </x:c>
    </x:row>
    <x:row r="32" ht="38" customHeight="1">
      <x:c r="A32" s="12" t="str">
        <x:v>英文</x:v>
      </x:c>
      <x:c r="B32" s="12" t="str">
        <x:v>LibriSpeech</x:v>
      </x:c>
      <x:c r="C32" s="12" t="str">
        <x:v>test-other</x:v>
      </x:c>
      <x:c r="D32" s="39" t="n">
        <x:v>2939</x:v>
      </x:c>
      <x:c r="E32" s="43" t="str">
        <x:v>SenseVoice 10-best + Qwen3.5-9B</x:v>
      </x:c>
      <x:c r="F32" s="43" t="str">
        <x:v>final 2-epoch adapter</x:v>
      </x:c>
      <x:c r="G32" s="12" t="str">
        <x:v>WER</x:v>
      </x:c>
      <x:c r="H32" s="27" t="n">
        <x:v>0.072789</x:v>
      </x:c>
      <x:c r="I32" s="27" t="n">
        <x:v>0.059206</x:v>
      </x:c>
      <x:c r="J32" s="31" t="n">
        <x:f>(I32-H32)*100</x:f>
        <x:v>-1.3583000000000005</x:v>
      </x:c>
      <x:c r="K32" s="35" t="n">
        <x:f>IFERROR(I32/H32-1,"")</x:f>
        <x:v>-0.18660786657324602</x:v>
      </x:c>
      <x:c r="L32" s="39" t="n">
        <x:v>761</x:v>
      </x:c>
      <x:c r="M32" s="39" t="n">
        <x:v>283</x:v>
      </x:c>
      <x:c r="N32" s="39" t="n">
        <x:v>1895</x:v>
      </x:c>
      <x:c r="O32" s="43" t="str">
        <x:v>full_test</x:v>
      </x:c>
      <x:c r="P32" s="43" t="str">
        <x:v>character CER 3.4059% to 2.9635%</x:v>
      </x:c>
    </x:row>
  </x:sheetData>
  <x:conditionalFormatting sqref="J2:J32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O2:O32">
    <x:cfRule type="containsText" dxfId="2" priority="3" operator="containsText" text="leaked"/>
    <x:cfRule type="containsText" dxfId="3" priority="4" operator="containsText" text="oracle"/>
    <x:cfRule type="beginsWith" dxfId="4" priority="5" operator="beginsWith" text="full"/>
  </x:conditionalFormatting>
  <x:pageMargins left="0.7" right="0.7" top="0.75" bottom="0.75" header="0.3" footer="0.3"/>
  <x:tableParts count="1">
    <x:tablePart xmlns:r="http://schemas.openxmlformats.org/officeDocument/2006/relationships" r:id="Rb6f54849475b4a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60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15" hidden="0" customWidth="1"/>
  </x:cols>
  <x:sheetData>
    <x:row r="1" ht="32" customHeight="1">
      <x:c r="A1" s="46" t="str">
        <x:v>五个数据集：我们能够超过的近年论文结果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中文使用 corpus CER；LibriSpeech 使用 corpus WER。以2025–2026论文为主，MAGICDATA-READ与ST-CMDS扩展补充2021–2024结果；仅保留错误率高于我们主结果的设置。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指标</x:v>
      </x:c>
      <x:c r="D4" s="74" t="str">
        <x:v>输入错误率</x:v>
      </x:c>
      <x:c r="E4" s="74" t="str">
        <x:v>输出错误率</x:v>
      </x:c>
      <x:c r="F4" s="74" t="str">
        <x:v>相对变化</x:v>
      </x:c>
      <x:c r="G4" s="74" t="str">
        <x:v>结果性质</x:v>
      </x:c>
      <x:c r="H4" s="74" t="str">
        <x:v>可超越论文设置数</x:v>
      </x:c>
    </x:row>
    <x:row r="5" ht="27" customHeight="1">
      <x:c r="A5" s="61" t="str">
        <x:v>AISHELL-1</x:v>
      </x:c>
      <x:c r="B5" s="61" t="str">
        <x:v>test</x:v>
      </x:c>
      <x:c r="C5" s="61" t="str">
        <x:v>CER</x:v>
      </x:c>
      <x:c r="D5" s="76" t="n">
        <x:f>'实验结果'!H4</x:f>
        <x:v>0.058353999999999996</x:v>
      </x:c>
      <x:c r="E5" s="76" t="n">
        <x:f>'实验结果'!I4</x:f>
        <x:v>0.026231</x:v>
      </x:c>
      <x:c r="F5" s="80" t="n">
        <x:f>'实验结果'!K4</x:f>
        <x:v>-0.550484971038832</x:v>
      </x:c>
      <x:c r="G5" s="61" t="str">
        <x:f>'实验结果'!O4</x:f>
        <x:v>full_held_out</x:v>
      </x:c>
      <x:c r="H5" s="84" t="n">
        <x:v>5</x:v>
      </x:c>
    </x:row>
    <x:row r="6" ht="27" customHeight="1">
      <x:c r="A6" s="61" t="str">
        <x:v>ST-CMDS</x:v>
      </x:c>
      <x:c r="B6" s="61" t="str">
        <x:v>test</x:v>
      </x:c>
      <x:c r="C6" s="61" t="str">
        <x:v>CER</x:v>
      </x:c>
      <x:c r="D6" s="76" t="n">
        <x:f>'实验结果'!H7</x:f>
        <x:v>0.056407</x:v>
      </x:c>
      <x:c r="E6" s="76" t="n">
        <x:f>'实验结果'!I7</x:f>
        <x:v>0.044994</x:v>
      </x:c>
      <x:c r="F6" s="80" t="n">
        <x:f>'实验结果'!K7</x:f>
        <x:v>-0.20233304377116312</x:v>
      </x:c>
      <x:c r="G6" s="61" t="str">
        <x:f>'实验结果'!O7</x:f>
        <x:v>full_held_out</x:v>
      </x:c>
      <x:c r="H6" s="84" t="n">
        <x:v>15</x:v>
      </x:c>
    </x:row>
    <x:row r="7" ht="27" customHeight="1">
      <x:c r="A7" s="61" t="str">
        <x:v>MAGICDATA-READ</x:v>
      </x:c>
      <x:c r="B7" s="61" t="str">
        <x:v>test</x:v>
      </x:c>
      <x:c r="C7" s="61" t="str">
        <x:v>CER</x:v>
      </x:c>
      <x:c r="D7" s="76" t="n">
        <x:f>'实验结果'!H14</x:f>
        <x:v>0.037245</x:v>
      </x:c>
      <x:c r="E7" s="76" t="n">
        <x:f>'实验结果'!I14</x:f>
        <x:v>0.024333999999999998</x:v>
      </x:c>
      <x:c r="F7" s="80" t="n">
        <x:f>'实验结果'!K14</x:f>
        <x:v>-0.3466505571217614</x:v>
      </x:c>
      <x:c r="G7" s="61" t="str">
        <x:f>'实验结果'!O14</x:f>
        <x:v>full_held_out</x:v>
      </x:c>
      <x:c r="H7" s="84" t="n">
        <x:v>11</x:v>
      </x:c>
    </x:row>
    <x:row r="8" ht="27" customHeight="1">
      <x:c r="A8" s="61" t="str">
        <x:v>THCHS-30</x:v>
      </x:c>
      <x:c r="B8" s="61" t="str">
        <x:v>test</x:v>
      </x:c>
      <x:c r="C8" s="61" t="str">
        <x:v>CER</x:v>
      </x:c>
      <x:c r="D8" s="76" t="n">
        <x:f>'实验结果'!H21</x:f>
        <x:v>0.051664</x:v>
      </x:c>
      <x:c r="E8" s="76" t="n">
        <x:f>'实验结果'!I21</x:f>
        <x:v>0.043111</x:v>
      </x:c>
      <x:c r="F8" s="80" t="n">
        <x:f>'实验结果'!K21</x:f>
        <x:v>-0.16555048002477557</x:v>
      </x:c>
      <x:c r="G8" s="61" t="str">
        <x:f>'实验结果'!O21</x:f>
        <x:v>full_cross_domain</x:v>
      </x:c>
      <x:c r="H8" s="84" t="n">
        <x:v>3</x:v>
      </x:c>
    </x:row>
    <x:row r="9" ht="27" customHeight="1">
      <x:c r="A9" s="61" t="str">
        <x:v>LibriSpeech</x:v>
      </x:c>
      <x:c r="B9" s="61" t="str">
        <x:v>test-clean</x:v>
      </x:c>
      <x:c r="C9" s="61" t="str">
        <x:v>WER</x:v>
      </x:c>
      <x:c r="D9" s="76" t="n">
        <x:f>'实验结果'!H30</x:f>
        <x:v>0.032277</x:v>
      </x:c>
      <x:c r="E9" s="76" t="n">
        <x:f>'实验结果'!I30</x:f>
        <x:v>0.026419</x:v>
      </x:c>
      <x:c r="F9" s="80" t="n">
        <x:f>'实验结果'!K30</x:f>
        <x:v>-0.18149146451033238</x:v>
      </x:c>
      <x:c r="G9" s="61" t="str">
        <x:f>'实验结果'!O30</x:f>
        <x:v>full_test</x:v>
      </x:c>
      <x:c r="H9" s="84" t="n">
        <x:v>3</x:v>
      </x:c>
    </x:row>
    <x:row r="10" ht="27" customHeight="1">
      <x:c r="A10" s="62" t="str">
        <x:v>LibriSpeech</x:v>
      </x:c>
      <x:c r="B10" s="62" t="str">
        <x:v>test-other</x:v>
      </x:c>
      <x:c r="C10" s="62" t="str">
        <x:v>WER</x:v>
      </x:c>
      <x:c r="D10" s="77" t="n">
        <x:f>'实验结果'!H32</x:f>
        <x:v>0.072789</x:v>
      </x:c>
      <x:c r="E10" s="77" t="n">
        <x:f>'实验结果'!I32</x:f>
        <x:v>0.059206</x:v>
      </x:c>
      <x:c r="F10" s="81" t="n">
        <x:f>'实验结果'!K32</x:f>
        <x:v>-0.18660786657324602</x:v>
      </x:c>
      <x:c r="G10" s="62" t="str">
        <x:f>'实验结果'!O32</x:f>
        <x:v>full_test</x:v>
      </x:c>
      <x:c r="H10" s="85" t="n">
        <x:v>3</x:v>
      </x:c>
    </x:row>
    <x:row r="13" ht="34" customHeight="1">
      <x:c r="A13" s="74" t="str">
        <x:v>筛选规则</x:v>
      </x:c>
      <x:c r="B13" s="74" t="str">
        <x:v>含义</x:v>
      </x:c>
      <x:c r="C13" s="74" t="str">
        <x:v>解读</x:v>
      </x:c>
    </x:row>
    <x:row r="14" ht="38" customHeight="1">
      <x:c r="A14" s="106" t="str">
        <x:v>主表收录</x:v>
      </x:c>
      <x:c r="B14" s="106" t="str">
        <x:v>以2025–2026论文为主；MAGICDATA与ST-CMDS扩展至2021–2024。同数据集/指标且错误率高于我们</x:v>
      </x:c>
      <x:c r="C14" s="106" t="str">
        <x:v>可以表述为“超过论文中的该系统设置”</x:v>
      </x:c>
    </x:row>
    <x:row r="15" ht="38" customHeight="1">
      <x:c r="A15" s="107" t="str">
        <x:v>主表排除</x:v>
      </x:c>
      <x:c r="B15" s="107" t="str">
        <x:v>论文错误率低于或等于我们的结果</x:v>
      </x:c>
      <x:c r="C15" s="107" t="str">
        <x:v>不放入优势比较，避免主表出现我们未超过的模型</x:v>
      </x:c>
    </x:row>
    <x:row r="16" ht="38" customHeight="1">
      <x:c r="A16" s="107" t="str">
        <x:v>领先 (pp)</x:v>
      </x:c>
      <x:c r="B16" s="107" t="str">
        <x:v>论文错误率减我们的错误率</x:v>
      </x:c>
      <x:c r="C16" s="107" t="str">
        <x:v>正数代表我们的错误率更低</x:v>
      </x:c>
    </x:row>
    <x:row r="17" ht="38" customHeight="1">
      <x:c r="A17" s="108" t="str">
        <x:v>边界</x:v>
      </x:c>
      <x:c r="B17" s="108" t="str">
        <x:v>训练数据、模型规模、外部LM、流式和上下文条件仍可能不同</x:v>
      </x:c>
      <x:c r="C17" s="108" t="str">
        <x:v>不能表述为超过整篇论文全部结果或当前SOTA</x:v>
      </x:c>
    </x:row>
    <x:row r="20" ht="42" customHeight="1">
      <x:c r="A20" s="116" t="str">
        <x:v>注意：优势结论只使用 held-out / full cross-domain 主结果。Leaked diagnostic 和 Oracle 不参与论文领先幅度；每一行仍须结合“可比性”列描述。</x:v>
      </x:c>
      <x:c r="B20" s="116"/>
      <x:c r="C20" s="116"/>
      <x:c r="D20" s="116"/>
      <x:c r="E20" s="116"/>
      <x:c r="F20" s="116"/>
      <x:c r="G20" s="116"/>
      <x:c r="H20" s="116"/>
    </x:row>
  </x:sheetData>
  <x:mergeCells>
    <x:mergeCell ref="A1:L1"/>
    <x:mergeCell ref="A2:L2"/>
    <x:mergeCell ref="A20:H20"/>
  </x:mergeCells>
  <x:pageMargins left="0.7" right="0.7" top="0.75" bottom="0.75" header="0.3" footer="0.3"/>
  <x:tableParts count="1">
    <x:tablePart xmlns:r="http://schemas.openxmlformats.org/officeDocument/2006/relationships" r:id="R2e544ac4b04742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AISHELL（AISHELL-1 / AISHELL-NE）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'实验结果'!B2</x:f>
        <x:v>AISHELL-NE</x:v>
      </x:c>
      <x:c r="B5" s="11" t="str">
        <x:f>'实验结果'!C2</x:f>
        <x:v>808 Full</x:v>
      </x:c>
      <x:c r="C5" s="38" t="n">
        <x:f>'实验结果'!D2</x:f>
        <x:v>808</x:v>
      </x:c>
      <x:c r="D5" s="42" t="str">
        <x:f>'实验结果'!E2</x:f>
        <x:v>CB-SenseVoice w14 + DPO-30 COVO</x:v>
      </x:c>
      <x:c r="E5" s="42" t="str">
        <x:f>'实验结果'!F2</x:f>
        <x:v>DPO-30 4B</x:v>
      </x:c>
      <x:c r="F5" s="11" t="str">
        <x:f>'实验结果'!G2</x:f>
        <x:v>CER</x:v>
      </x:c>
      <x:c r="G5" s="26" t="n">
        <x:f>'实验结果'!H2</x:f>
        <x:v>0.103609</x:v>
      </x:c>
      <x:c r="H5" s="26" t="n">
        <x:f>'实验结果'!I2</x:f>
        <x:v>0.031354</x:v>
      </x:c>
      <x:c r="I5" s="30" t="n">
        <x:f>'实验结果'!J2</x:f>
        <x:v>-7.225500000000001</x:v>
      </x:c>
      <x:c r="J5" s="34" t="n">
        <x:f>'实验结果'!K2</x:f>
        <x:v>-0.6973815016070033</x:v>
      </x:c>
      <x:c r="K5" s="42" t="str">
        <x:f>'实验结果'!O2</x:f>
        <x:v>full_contextual_joint_main</x:v>
      </x:c>
      <x:c r="L5" s="42" t="str">
        <x:f>'实验结果'!P2</x:f>
        <x:v>Recall@400=90.50%; R1 Recall@226=83.63%</x:v>
      </x:c>
    </x:row>
    <x:row r="6" ht="38" customHeight="1">
      <x:c r="A6" s="11" t="str">
        <x:f>'实验结果'!B3</x:f>
        <x:v>AISHELL-1</x:v>
      </x:c>
      <x:c r="B6" s="11" t="str">
        <x:f>'实验结果'!C3</x:f>
        <x:v>Full</x:v>
      </x:c>
      <x:c r="C6" s="38" t="n">
        <x:f>'实验结果'!D3</x:f>
        <x:v>7176</x:v>
      </x:c>
      <x:c r="D6" s="42" t="str">
        <x:f>'实验结果'!E3</x:f>
        <x:v>Routed SenseVoice / CB-SenseVoice w14 + DPO-30 COVO</x:v>
      </x:c>
      <x:c r="E6" s="42" t="str">
        <x:f>'实验结果'!F3</x:f>
        <x:v>DPO-30 4B</x:v>
      </x:c>
      <x:c r="F6" s="11" t="str">
        <x:f>'实验结果'!G3</x:f>
        <x:v>CER</x:v>
      </x:c>
      <x:c r="G6" s="26" t="n">
        <x:f>'实验结果'!H3</x:f>
        <x:v>0.062922</x:v>
      </x:c>
      <x:c r="H6" s="26" t="n">
        <x:f>'实验结果'!I3</x:f>
        <x:v>0.032062</x:v>
      </x:c>
      <x:c r="I6" s="30" t="n">
        <x:f>'实验结果'!J3</x:f>
        <x:v>-3.0860000000000007</x:v>
      </x:c>
      <x:c r="J6" s="34" t="n">
        <x:f>'实验结果'!K3</x:f>
        <x:v>-0.49044849178347805</x:v>
      </x:c>
      <x:c r="K6" s="42" t="str">
        <x:f>'实验结果'!O3</x:f>
        <x:v>full_contextual</x:v>
      </x:c>
      <x:c r="L6" s="42" t="str">
        <x:f>'实验结果'!P3</x:f>
        <x:v>808 contextual rows + 6368 bare SenseVoice rows</x:v>
      </x:c>
    </x:row>
    <x:row r="7" ht="38" customHeight="1">
      <x:c r="A7" s="11" t="str">
        <x:f>'实验结果'!B4</x:f>
        <x:v>AISHELL-1</x:v>
      </x:c>
      <x:c r="B7" s="11" t="str">
        <x:f>'实验结果'!C4</x:f>
        <x:v>test</x:v>
      </x:c>
      <x:c r="C7" s="38" t="n">
        <x:f>'实验结果'!D4</x:f>
        <x:v>7174</x:v>
      </x:c>
      <x:c r="D7" s="42" t="str">
        <x:f>'实验结果'!E4</x:f>
        <x:v>SenseVoice 10-best + Qwen3.5-9B</x:v>
      </x:c>
      <x:c r="E7" s="42" t="str">
        <x:f>'实验结果'!F4</x:f>
        <x:v>AISHELL checkpoint-30022</x:v>
      </x:c>
      <x:c r="F7" s="11" t="str">
        <x:f>'实验结果'!G4</x:f>
        <x:v>CER</x:v>
      </x:c>
      <x:c r="G7" s="26" t="n">
        <x:f>'实验结果'!H4</x:f>
        <x:v>0.058353999999999996</x:v>
      </x:c>
      <x:c r="H7" s="26" t="n">
        <x:f>'实验结果'!I4</x:f>
        <x:v>0.026231</x:v>
      </x:c>
      <x:c r="I7" s="30" t="n">
        <x:f>'实验结果'!J4</x:f>
        <x:v>-3.2123</x:v>
      </x:c>
      <x:c r="J7" s="34" t="n">
        <x:f>'实验结果'!K4</x:f>
        <x:v>-0.550484971038832</x:v>
      </x:c>
      <x:c r="K7" s="42" t="str">
        <x:f>'实验结果'!O4</x:f>
        <x:v>full_held_out</x:v>
      </x:c>
      <x:c r="L7" s="42" t="str">
        <x:f>'实验结果'!P4</x:f>
        <x:v>2 empty references skipped</x:v>
      </x:c>
    </x:row>
    <x:row r="8" ht="38" customHeight="1">
      <x:c r="A8" s="11" t="str">
        <x:f>'实验结果'!B5</x:f>
        <x:v>AISHELL-1</x:v>
      </x:c>
      <x:c r="B8" s="11" t="str">
        <x:f>'实验结果'!C5</x:f>
        <x:v>Full</x:v>
      </x:c>
      <x:c r="C8" s="38" t="n">
        <x:f>'实验结果'!D5</x:f>
        <x:v>7176</x:v>
      </x:c>
      <x:c r="D8" s="42" t="str">
        <x:f>'实验结果'!E5</x:f>
        <x:v>Error-targeted CB-SenseVoice + preserve2 COVO</x:v>
      </x:c>
      <x:c r="E8" s="42" t="str">
        <x:f>'实验结果'!F5</x:f>
        <x:v>preserve2 4B</x:v>
      </x:c>
      <x:c r="F8" s="11" t="str">
        <x:f>'实验结果'!G5</x:f>
        <x:v>CER</x:v>
      </x:c>
      <x:c r="G8" s="26" t="n">
        <x:f>'实验结果'!H5</x:f>
        <x:v>0.026345</x:v>
      </x:c>
      <x:c r="H8" s="26" t="n">
        <x:f>'实验结果'!I5</x:f>
        <x:v>0.018335999999999998</x:v>
      </x:c>
      <x:c r="I8" s="30" t="n">
        <x:f>'实验结果'!J5</x:f>
        <x:v>-0.8009000000000002</x:v>
      </x:c>
      <x:c r="J8" s="34" t="n">
        <x:f>'实验结果'!K5</x:f>
        <x:v>-0.30400455494401224</x:v>
      </x:c>
      <x:c r="K8" s="42" t="str">
        <x:f>'实验结果'!O5</x:f>
        <x:v>leaked_diagnostic</x:v>
      </x:c>
      <x:c r="L8" s="42" t="str">
        <x:f>'实验结果'!P5</x:f>
        <x:v>test-reference/error-derived hotwords</x:v>
      </x:c>
    </x:row>
    <x:row r="9" ht="38" customHeight="1">
      <x:c r="A9" s="12" t="str">
        <x:f>'实验结果'!B6</x:f>
        <x:v>AISHELL-1</x:v>
      </x:c>
      <x:c r="B9" s="12" t="str">
        <x:f>'实验结果'!C6</x:f>
        <x:v>Full</x:v>
      </x:c>
      <x:c r="C9" s="39" t="n">
        <x:f>'实验结果'!D6</x:f>
        <x:v>7176</x:v>
      </x:c>
      <x:c r="D9" s="43" t="str">
        <x:f>'实验结果'!E6</x:f>
        <x:v>Error-targeted CB-SenseVoice + Qwen3.5-9B</x:v>
      </x:c>
      <x:c r="E9" s="43" t="str">
        <x:f>'实验结果'!F6</x:f>
        <x:v>AISHELL checkpoint-30022</x:v>
      </x:c>
      <x:c r="F9" s="12" t="str">
        <x:f>'实验结果'!G6</x:f>
        <x:v>CER</x:v>
      </x:c>
      <x:c r="G9" s="27" t="n">
        <x:f>'实验结果'!H6</x:f>
        <x:v>0.026345</x:v>
      </x:c>
      <x:c r="H9" s="27" t="n">
        <x:f>'实验结果'!I6</x:f>
        <x:v>0.01846</x:v>
      </x:c>
      <x:c r="I9" s="31" t="n">
        <x:f>'实验结果'!J6</x:f>
        <x:v>-0.7885</x:v>
      </x:c>
      <x:c r="J9" s="35" t="n">
        <x:f>'实验结果'!K6</x:f>
        <x:v>-0.2992977794647941</x:v>
      </x:c>
      <x:c r="K9" s="43" t="str">
        <x:f>'实验结果'!O6</x:f>
        <x:v>leaked_diagnostic</x:v>
      </x:c>
      <x:c r="L9" s="43" t="str">
        <x:f>'实验结果'!P6</x:f>
        <x:v>test-reference/error-derived hotwords</x:v>
      </x:c>
    </x:row>
    <x:row r="12" ht="28" customHeight="1">
      <x:c r="A12" s="120" t="str">
        <x:v>我们能够超过的 2025–2026 年论文结果</x:v>
      </x:c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</x:row>
    <x:row r="13" ht="34" customHeight="1">
      <x:c r="A13" s="74" t="str">
        <x:v>年份</x:v>
      </x:c>
      <x:c r="B13" s="74" t="str">
        <x:v>论文</x:v>
      </x:c>
      <x:c r="C13" s="74" t="str">
        <x:v>模型 / 系统</x:v>
      </x:c>
      <x:c r="D13" s="74" t="str">
        <x:v>测试范围</x:v>
      </x:c>
      <x:c r="E13" s="74" t="str">
        <x:v>指标</x:v>
      </x:c>
      <x:c r="F13" s="74" t="str">
        <x:v>论文错误率</x:v>
      </x:c>
      <x:c r="G13" s="74" t="str">
        <x:v>我们的错误率</x:v>
      </x:c>
      <x:c r="H13" s="74" t="str">
        <x:v>领先 (pp)</x:v>
      </x:c>
      <x:c r="I13" s="74" t="str">
        <x:v>训练/解码设置</x:v>
      </x:c>
      <x:c r="J13" s="74" t="str">
        <x:v>可比性</x:v>
      </x:c>
      <x:c r="K13" s="74" t="str">
        <x:v>论文位置</x:v>
      </x:c>
      <x:c r="L13" s="74" t="str">
        <x:v>来源 URL</x:v>
      </x:c>
    </x:row>
    <x:row r="14" ht="52" customHeight="1">
      <x:c r="A14" s="134" t="n">
        <x:v>2025</x:v>
      </x:c>
      <x:c r="B14" s="107" t="str">
        <x:v>An Mcformer encoder integrating Mamba and Cgmlp for improved acoustic feature extraction</x:v>
      </x:c>
      <x:c r="C14" s="107" t="str">
        <x:v>Mcformer（无外部LM）</x:v>
      </x:c>
      <x:c r="D14" s="107" t="str">
        <x:v>AISHELL-1 test</x:v>
      </x:c>
      <x:c r="E14" s="107" t="str">
        <x:v>CER</x:v>
      </x:c>
      <x:c r="F14" s="138" t="n">
        <x:v>0.0448</x:v>
      </x:c>
      <x:c r="G14" s="138" t="n">
        <x:f>H7</x:f>
        <x:v>0.026231</x:v>
      </x:c>
      <x:c r="H14" s="142" t="n">
        <x:f>(F14-G14)*100</x:f>
        <x:v>1.8568999999999998</x:v>
      </x:c>
      <x:c r="I14" s="107" t="str">
        <x:v>AISHELL-1训练；无语言模型</x:v>
      </x:c>
      <x:c r="J14" s="107" t="str">
        <x:v>直接参考：同官方测试集与CER，模型训练协议不同</x:v>
      </x:c>
      <x:c r="K14" s="107" t="str">
        <x:v>摘要/实验结果；加LM为4.08%</x:v>
      </x:c>
      <x:c r="L14" s="107" t="str">
        <x:v>https://www.nature.com/articles/s41598-025-04979-1</x:v>
      </x:c>
    </x:row>
    <x:row r="15" ht="52" customHeight="1">
      <x:c r="A15" s="134" t="n">
        <x:v>2025</x:v>
      </x:c>
      <x:c r="B15" s="107" t="str">
        <x:v>An Mcformer encoder integrating Mamba and Cgmlp for improved acoustic feature extraction</x:v>
      </x:c>
      <x:c r="C15" s="107" t="str">
        <x:v>Mcformer（含LM）</x:v>
      </x:c>
      <x:c r="D15" s="107" t="str">
        <x:v>AISHELL-1 test</x:v>
      </x:c>
      <x:c r="E15" s="107" t="str">
        <x:v>CER</x:v>
      </x:c>
      <x:c r="F15" s="138" t="n">
        <x:v>0.0408</x:v>
      </x:c>
      <x:c r="G15" s="138" t="n">
        <x:f>H7</x:f>
        <x:v>0.026231</x:v>
      </x:c>
      <x:c r="H15" s="142" t="n">
        <x:f>(F15-G15)*100</x:f>
        <x:v>1.4569000000000003</x:v>
      </x:c>
      <x:c r="I15" s="107" t="str">
        <x:v>AISHELL-1训练；加入语言模型</x:v>
      </x:c>
      <x:c r="J15" s="107" t="str">
        <x:v>直接参考：同官方测试集与CER，模型训练协议不同</x:v>
      </x:c>
      <x:c r="K15" s="107" t="str">
        <x:v>摘要/实验结果</x:v>
      </x:c>
      <x:c r="L15" s="107" t="str">
        <x:v>https://www.nature.com/articles/s41598-025-04979-1</x:v>
      </x:c>
    </x:row>
    <x:row r="16" ht="52" customHeight="1">
      <x:c r="A16" s="134" t="n">
        <x:v>2025</x:v>
      </x:c>
      <x:c r="B16" s="107" t="str">
        <x:v>Delayed-KD: Delayed Knowledge Distillation based CTC for Low-Latency Streaming ASR</x:v>
      </x:c>
      <x:c r="C16" s="107" t="str">
        <x:v>Delayed-KD（40 ms）</x:v>
      </x:c>
      <x:c r="D16" s="107" t="str">
        <x:v>AISHELL-1 test</x:v>
      </x:c>
      <x:c r="E16" s="107" t="str">
        <x:v>CER</x:v>
      </x:c>
      <x:c r="F16" s="138" t="n">
        <x:v>0.0542</x:v>
      </x:c>
      <x:c r="G16" s="138" t="n">
        <x:f>H7</x:f>
        <x:v>0.026231</x:v>
      </x:c>
      <x:c r="H16" s="142" t="n">
        <x:f>(F16-G16)*100</x:f>
        <x:v>2.7969</x:v>
      </x:c>
      <x:c r="I16" s="107" t="str">
        <x:v>178小时AISHELL-1；40 ms流式延迟</x:v>
      </x:c>
      <x:c r="J16" s="107" t="str">
        <x:v>流式参考：同数据集与CER，受延迟约束</x:v>
      </x:c>
      <x:c r="K16" s="107" t="str">
        <x:v>摘要报告值</x:v>
      </x:c>
      <x:c r="L16" s="107" t="str">
        <x:v>https://www.isca-archive.org/interspeech_2025/li25u_interspeech.html</x:v>
      </x:c>
    </x:row>
    <x:row r="17" ht="52" customHeight="1">
      <x:c r="A17" s="134" t="n">
        <x:v>2025</x:v>
      </x:c>
      <x:c r="B17" s="107" t="str">
        <x:v>PARCO: Phoneme-Augmented Robust Contextual ASR via Contrastive Entity Disambiguation</x:v>
      </x:c>
      <x:c r="C17" s="107" t="str">
        <x:v>PARCO</x:v>
      </x:c>
      <x:c r="D17" s="107" t="str">
        <x:v>AISHELL-1 test</x:v>
      </x:c>
      <x:c r="E17" s="107" t="str">
        <x:v>CER</x:v>
      </x:c>
      <x:c r="F17" s="138" t="n">
        <x:v>0.0422</x:v>
      </x:c>
      <x:c r="G17" s="138" t="n">
        <x:f>H7</x:f>
        <x:v>0.026231</x:v>
      </x:c>
      <x:c r="H17" s="142" t="n">
        <x:f>(F17-G17)*100</x:f>
        <x:v>1.5969</x:v>
      </x:c>
      <x:c r="I17" s="107" t="str">
        <x:v>上下文ASR；1,000个干扰词</x:v>
      </x:c>
      <x:c r="J17" s="107" t="str">
        <x:v>上下文参考：偏置列表协议不同</x:v>
      </x:c>
      <x:c r="K17" s="107" t="str">
        <x:v>摘要报告值</x:v>
      </x:c>
      <x:c r="L17" s="107" t="str">
        <x:v>https://arxiv.org/abs/2509.04357</x:v>
      </x:c>
    </x:row>
    <x:row r="18" ht="52" customHeight="1">
      <x:c r="A18" s="135" t="n">
        <x:v>2026</x:v>
      </x:c>
      <x:c r="B18" s="124" t="str">
        <x:v>MOSS-Audio Technical Report</x:v>
      </x:c>
      <x:c r="C18" s="124" t="str">
        <x:v>SenseVoice-Small</x:v>
      </x:c>
      <x:c r="D18" s="124" t="str">
        <x:v>AISHELL-1 test</x:v>
      </x:c>
      <x:c r="E18" s="124" t="str">
        <x:v>CER</x:v>
      </x:c>
      <x:c r="F18" s="139" t="n">
        <x:v>0.0323</x:v>
      </x:c>
      <x:c r="G18" s="139" t="n">
        <x:f>H7</x:f>
        <x:v>0.026231</x:v>
      </x:c>
      <x:c r="H18" s="143" t="n">
        <x:f>(F18-G18)*100</x:f>
        <x:v>0.6069000000000001</x:v>
      </x:c>
      <x:c r="I18" s="124" t="str">
        <x:v>论文表5中的公开模型复测结果</x:v>
      </x:c>
      <x:c r="J18" s="124" t="str">
        <x:v>直接参考：同测试集与CER；归一化和解码实现需核对</x:v>
      </x:c>
      <x:c r="K18" s="124" t="str">
        <x:v>Table 5</x:v>
      </x:c>
      <x:c r="L18" s="124" t="str">
        <x:v>https://arxiv.org/abs/2606.01802</x:v>
      </x:c>
    </x:row>
  </x:sheetData>
  <x:mergeCells>
    <x:mergeCell ref="A1:L1"/>
    <x:mergeCell ref="A2:L2"/>
    <x:mergeCell ref="A12:L12"/>
  </x:mergeCells>
  <x:conditionalFormatting sqref="I5:I9">
    <x:cfRule type="cellIs" dxfId="5" priority="1" operator="lessThan">
      <x:formula>0</x:formula>
    </x:cfRule>
    <x:cfRule type="cellIs" dxfId="6" priority="2" operator="greaterThan">
      <x:formula>0</x:formula>
    </x:cfRule>
  </x:conditionalFormatting>
  <x:conditionalFormatting sqref="K5:K9">
    <x:cfRule type="containsText" dxfId="7" priority="3" operator="containsText" text="leaked"/>
    <x:cfRule type="containsText" dxfId="8" priority="4" operator="containsText" text="oracle"/>
  </x:conditionalFormatting>
  <x:conditionalFormatting sqref="H14:H18">
    <x:cfRule type="cellIs" dxfId="9" priority="5" operator="greaterThan">
      <x:formula>0</x:formula>
    </x:cfRule>
    <x:cfRule type="cellIs" dxfId="10" priority="6" operator="lessThan">
      <x:formula>0</x:formula>
    </x:cfRule>
  </x:conditionalFormatting>
  <x:conditionalFormatting sqref="J14:J18">
    <x:cfRule type="containsText" dxfId="11" priority="7" operator="containsText" text="上下文参考"/>
    <x:cfRule type="containsText" dxfId="12" priority="8" operator="containsText" text="非同测试集"/>
    <x:cfRule type="containsText" dxfId="13" priority="9" operator="containsText" text="协议差异"/>
    <x:cfRule type="containsText" dxfId="14" priority="10" operator="containsText" text="测试划分待核"/>
    <x:cfRule type="containsText" dxfId="15" priority="11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0b456a45834541ce"/>
    <x:tablePart xmlns:r="http://schemas.openxmlformats.org/officeDocument/2006/relationships" r:id="R75b40f1b0e6f44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ST-CMDS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上表为我们的完整实验记录；下表只列2021–2026年中被我们主结果超过的论文设置。领先幅度为“论文错误率−我们的错误率”；这表示超过该论文中的特定系统/设置，不代表超过该论文全部模型或当前SOTA。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'实验结果'!B7</x:f>
        <x:v>ST-CMDS</x:v>
      </x:c>
      <x:c r="B5" s="11" t="str">
        <x:f>'实验结果'!C7</x:f>
        <x:v>test</x:v>
      </x:c>
      <x:c r="C5" s="38" t="n">
        <x:f>'实验结果'!D7</x:f>
        <x:v>5130</x:v>
      </x:c>
      <x:c r="D5" s="42" t="str">
        <x:f>'实验结果'!E7</x:f>
        <x:v>SenseVoice 10-best + Qwen3.5-9B</x:v>
      </x:c>
      <x:c r="E5" s="42" t="str">
        <x:f>'实验结果'!F7</x:f>
        <x:v>ST-CMDS checkpoint-34400</x:v>
      </x:c>
      <x:c r="F5" s="11" t="str">
        <x:f>'实验结果'!G7</x:f>
        <x:v>CER</x:v>
      </x:c>
      <x:c r="G5" s="26" t="n">
        <x:f>'实验结果'!H7</x:f>
        <x:v>0.056407</x:v>
      </x:c>
      <x:c r="H5" s="26" t="n">
        <x:f>'实验结果'!I7</x:f>
        <x:v>0.044994</x:v>
      </x:c>
      <x:c r="I5" s="30" t="n">
        <x:f>'实验结果'!J7</x:f>
        <x:v>-1.1413</x:v>
      </x:c>
      <x:c r="J5" s="34" t="n">
        <x:f>'实验结果'!K7</x:f>
        <x:v>-0.20233304377116312</x:v>
      </x:c>
      <x:c r="K5" s="42" t="str">
        <x:f>'实验结果'!O7</x:f>
        <x:v>full_held_out</x:v>
      </x:c>
      <x:c r="L5" s="42" t="str">
        <x:f>'实验结果'!P7</x:f>
        <x:v>checkpoint selected on dev only</x:v>
      </x:c>
    </x:row>
    <x:row r="6" ht="38" customHeight="1">
      <x:c r="A6" s="11" t="str">
        <x:f>'实验结果'!B8</x:f>
        <x:v>ST-CMDS</x:v>
      </x:c>
      <x:c r="B6" s="11" t="str">
        <x:f>'实验结果'!C8</x:f>
        <x:v>Full</x:v>
      </x:c>
      <x:c r="C6" s="38" t="n">
        <x:f>'实验结果'!D8</x:f>
        <x:v>5130</x:v>
      </x:c>
      <x:c r="D6" s="42" t="str">
        <x:f>'实验结果'!E8</x:f>
        <x:v>Standard-3139 CB-SenseVoice + ChineseHP COVO</x:v>
      </x:c>
      <x:c r="E6" s="42" t="str">
        <x:f>'实验结果'!F8</x:f>
        <x:v>historical 4B</x:v>
      </x:c>
      <x:c r="F6" s="11" t="str">
        <x:f>'实验结果'!G8</x:f>
        <x:v>CER</x:v>
      </x:c>
      <x:c r="G6" s="26" t="n">
        <x:f>'实验结果'!H8</x:f>
        <x:v>0.05792099999999999</x:v>
      </x:c>
      <x:c r="H6" s="26" t="n">
        <x:f>'实验结果'!I8</x:f>
        <x:v>0.052757</x:v>
      </x:c>
      <x:c r="I6" s="30" t="n">
        <x:f>'实验结果'!J8</x:f>
        <x:v>-0.5163999999999995</x:v>
      </x:c>
      <x:c r="J6" s="34" t="n">
        <x:f>'实验结果'!K8</x:f>
        <x:v>-0.08915591926934952</x:v>
      </x:c>
      <x:c r="K6" s="42" t="str">
        <x:f>'实验结果'!O8</x:f>
        <x:v>full_contextual</x:v>
      </x:c>
      <x:c r="L6" s="42" t="str">
        <x:f>'实验结果'!P8</x:f>
        <x:v>different input from naked 9B</x:v>
      </x:c>
    </x:row>
    <x:row r="7" ht="38" customHeight="1">
      <x:c r="A7" s="11" t="str">
        <x:f>'实验结果'!B9</x:f>
        <x:v>ST-CMDS</x:v>
      </x:c>
      <x:c r="B7" s="11" t="str">
        <x:f>'实验结果'!C9</x:f>
        <x:v>Full</x:v>
      </x:c>
      <x:c r="C7" s="38" t="n">
        <x:f>'实验结果'!D9</x:f>
        <x:v>5130</x:v>
      </x:c>
      <x:c r="D7" s="42" t="str">
        <x:f>'实验结果'!E9</x:f>
        <x:v>Standard-3139 CB-SenseVoice + Qwen3.5-9B</x:v>
      </x:c>
      <x:c r="E7" s="42" t="str">
        <x:f>'实验结果'!F9</x:f>
        <x:v>ST-CMDS checkpoint-34400</x:v>
      </x:c>
      <x:c r="F7" s="11" t="str">
        <x:f>'实验结果'!G9</x:f>
        <x:v>CER</x:v>
      </x:c>
      <x:c r="G7" s="26" t="n">
        <x:f>'实验结果'!H9</x:f>
        <x:v>0.05792099999999999</x:v>
      </x:c>
      <x:c r="H7" s="26" t="n">
        <x:f>'实验结果'!I9</x:f>
        <x:v>0.049054</x:v>
      </x:c>
      <x:c r="I7" s="30" t="n">
        <x:f>'实验结果'!J9</x:f>
        <x:v>-0.8866999999999993</x:v>
      </x:c>
      <x:c r="J7" s="34" t="n">
        <x:f>'实验结果'!K9</x:f>
        <x:v>-0.153087826522332</x:v>
      </x:c>
      <x:c r="K7" s="42" t="str">
        <x:f>'实验结果'!O9</x:f>
        <x:v>full_contextual</x:v>
      </x:c>
      <x:c r="L7" s="42" t="str">
        <x:f>'实验结果'!P9</x:f>
        <x:v>different input from naked 9B</x:v>
      </x:c>
    </x:row>
    <x:row r="8" ht="38" customHeight="1">
      <x:c r="A8" s="11" t="str">
        <x:f>'实验结果'!B10</x:f>
        <x:v>ST-CMDS</x:v>
      </x:c>
      <x:c r="B8" s="11" t="str">
        <x:f>'实验结果'!C10</x:f>
        <x:v>Full</x:v>
      </x:c>
      <x:c r="C8" s="38" t="n">
        <x:f>'实验结果'!D10</x:f>
        <x:v>5130</x:v>
      </x:c>
      <x:c r="D8" s="42" t="str">
        <x:f>'实验结果'!E10</x:f>
        <x:v>Error-targeted CB-SenseVoice + ChineseHP COVO</x:v>
      </x:c>
      <x:c r="E8" s="42" t="str">
        <x:f>'实验结果'!F10</x:f>
        <x:v>historical 4B</x:v>
      </x:c>
      <x:c r="F8" s="11" t="str">
        <x:f>'实验结果'!G10</x:f>
        <x:v>CER</x:v>
      </x:c>
      <x:c r="G8" s="26" t="n">
        <x:f>'实验结果'!H10</x:f>
        <x:v>0.044834</x:v>
      </x:c>
      <x:c r="H8" s="26" t="n">
        <x:f>'实验结果'!I10</x:f>
        <x:v>0.046917</x:v>
      </x:c>
      <x:c r="I8" s="30" t="n">
        <x:f>'实验结果'!J10</x:f>
        <x:v>0.20830000000000015</x:v>
      </x:c>
      <x:c r="J8" s="34" t="n">
        <x:f>'实验结果'!K10</x:f>
        <x:v>0.04646027568363298</x:v>
      </x:c>
      <x:c r="K8" s="42" t="str">
        <x:f>'实验结果'!O10</x:f>
        <x:v>leaked_diagnostic</x:v>
      </x:c>
      <x:c r="L8" s="42" t="str">
        <x:f>'实验结果'!P10</x:f>
        <x:v>test-reference/error-derived hotwords</x:v>
      </x:c>
    </x:row>
    <x:row r="9" ht="38" customHeight="1">
      <x:c r="A9" s="12" t="str">
        <x:f>'实验结果'!B11</x:f>
        <x:v>ST-CMDS</x:v>
      </x:c>
      <x:c r="B9" s="12" t="str">
        <x:f>'实验结果'!C11</x:f>
        <x:v>Full</x:v>
      </x:c>
      <x:c r="C9" s="39" t="n">
        <x:f>'实验结果'!D11</x:f>
        <x:v>5130</x:v>
      </x:c>
      <x:c r="D9" s="43" t="str">
        <x:f>'实验结果'!E11</x:f>
        <x:v>Error-targeted CB-SenseVoice + Qwen3.5-9B</x:v>
      </x:c>
      <x:c r="E9" s="43" t="str">
        <x:f>'实验结果'!F11</x:f>
        <x:v>ST-CMDS checkpoint-34400</x:v>
      </x:c>
      <x:c r="F9" s="12" t="str">
        <x:f>'实验结果'!G11</x:f>
        <x:v>CER</x:v>
      </x:c>
      <x:c r="G9" s="27" t="n">
        <x:f>'实验结果'!H11</x:f>
        <x:v>0.044834</x:v>
      </x:c>
      <x:c r="H9" s="27" t="n">
        <x:f>'实验结果'!I11</x:f>
        <x:v>0.044994</x:v>
      </x:c>
      <x:c r="I9" s="31" t="n">
        <x:f>'实验结果'!J11</x:f>
        <x:v>0.016000000000000042</x:v>
      </x:c>
      <x:c r="J9" s="35" t="n">
        <x:f>'实验结果'!K11</x:f>
        <x:v>0.0035687201677299107</x:v>
      </x:c>
      <x:c r="K9" s="43" t="str">
        <x:f>'实验结果'!O11</x:f>
        <x:v>leaked_diagnostic</x:v>
      </x:c>
      <x:c r="L9" s="43" t="str">
        <x:f>'实验结果'!P11</x:f>
        <x:v>test-reference/error-derived hotwords</x:v>
      </x:c>
    </x:row>
    <x:row r="12" ht="28" customHeight="1">
      <x:c r="A12" s="120" t="str">
        <x:v>我们能够超过的 2021–2026 年论文结果</x:v>
      </x:c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</x:row>
    <x:row r="13" ht="34" customHeight="1">
      <x:c r="A13" s="74" t="str">
        <x:v>年份</x:v>
      </x:c>
      <x:c r="B13" s="74" t="str">
        <x:v>论文</x:v>
      </x:c>
      <x:c r="C13" s="74" t="str">
        <x:v>模型 / 系统</x:v>
      </x:c>
      <x:c r="D13" s="74" t="str">
        <x:v>测试范围</x:v>
      </x:c>
      <x:c r="E13" s="74" t="str">
        <x:v>指标</x:v>
      </x:c>
      <x:c r="F13" s="74" t="str">
        <x:v>论文错误率</x:v>
      </x:c>
      <x:c r="G13" s="74" t="str">
        <x:v>我们的错误率</x:v>
      </x:c>
      <x:c r="H13" s="74" t="str">
        <x:v>领先 (pp)</x:v>
      </x:c>
      <x:c r="I13" s="74" t="str">
        <x:v>训练/解码设置</x:v>
      </x:c>
      <x:c r="J13" s="74" t="str">
        <x:v>可比性</x:v>
      </x:c>
      <x:c r="K13" s="74" t="str">
        <x:v>论文位置</x:v>
      </x:c>
      <x:c r="L13" s="74" t="str">
        <x:v>来源 URL</x:v>
      </x:c>
    </x:row>
    <x:row r="14" ht="52" customHeight="1">
      <x:c r="A14" s="134" t="n">
        <x:v>2021</x:v>
      </x:c>
      <x:c r="B14" s="107" t="str">
        <x:v>Weakly Supervised Construction of ASR Systems from Massive Video Data</x:v>
      </x:c>
      <x:c r="C14" s="107" t="str">
        <x:v>wav2letter w/o WSP</x:v>
      </x:c>
      <x:c r="D14" s="107" t="str">
        <x:v>ST-CMDS test（论文默认划分）</x:v>
      </x:c>
      <x:c r="E14" s="107" t="str">
        <x:v>CER</x:v>
      </x:c>
      <x:c r="F14" s="138" t="n">
        <x:v>0.045</x:v>
      </x:c>
      <x:c r="G14" s="138" t="n">
        <x:f>H5</x:f>
        <x:v>0.044994</x:v>
      </x:c>
      <x:c r="H14" s="142" t="n">
        <x:f>(F14-G14)*100</x:f>
        <x:v>0.0005999999999999062</x:v>
      </x:c>
      <x:c r="I14" s="107" t="str">
        <x:v>沿用数据集默认train/dev/test划分；仅目标域监督训练，不使用8,000小时视频弱监督预训练</x:v>
      </x:c>
      <x:c r="J14" s="107" t="str">
        <x:v>非同测试集参考：论文沿用默认划分；我们为5,130条held-out，无法确认逐条一致；领先仅0.0006个百分点</x:v>
      </x:c>
      <x:c r="K14" s="107" t="str">
        <x:v>Table 2</x:v>
      </x:c>
      <x:c r="L14" s="107" t="str">
        <x:v>https://www.isca-archive.org/interspeech_2021/cheng21c_interspeech.html</x:v>
      </x:c>
    </x:row>
    <x:row r="15" ht="52" customHeight="1">
      <x:c r="A15" s="134" t="n">
        <x:v>2024</x:v>
      </x:c>
      <x:c r="B15" s="107" t="str">
        <x:v>CopyNE: Better Contextual ASR by Copying Named Entities</x:v>
      </x:c>
      <x:c r="C15" s="107" t="str">
        <x:v>Joint CTC-Transformer</x:v>
      </x:c>
      <x:c r="D15" s="107" t="str">
        <x:v>ST-CMDS test（10,260条）</x:v>
      </x:c>
      <x:c r="E15" s="107" t="str">
        <x:v>CER</x:v>
      </x:c>
      <x:c r="F15" s="138" t="n">
        <x:v>0.1056</x:v>
      </x:c>
      <x:c r="G15" s="138" t="n">
        <x:f>H5</x:f>
        <x:v>0.044994</x:v>
      </x:c>
      <x:c r="H15" s="142" t="n">
        <x:f>(F15-G15)*100</x:f>
        <x:v>6.0606</x:v>
      </x:c>
      <x:c r="I15" s="107" t="str">
        <x:v>ST-CMDS 82,080/10,260/10,260划分；6层Transformer编码器/解码器；无实体词典</x:v>
      </x:c>
      <x:c r="J15" s="107" t="str">
        <x:v>非同测试集参考：论文test为10,260条；我们为5,130条held-out</x:v>
      </x:c>
      <x:c r="K15" s="107" t="str">
        <x:v>Table 1</x:v>
      </x:c>
      <x:c r="L15" s="107" t="str">
        <x:v>https://aclanthology.org/2024.acl-long.147/</x:v>
      </x:c>
    </x:row>
    <x:row r="16" ht="52" customHeight="1">
      <x:c r="A16" s="134" t="n">
        <x:v>2024</x:v>
      </x:c>
      <x:c r="B16" s="107" t="str">
        <x:v>CopyNE: Better Contextual ASR by Copying Named Entities</x:v>
      </x:c>
      <x:c r="C16" s="107" t="str">
        <x:v>CLAS</x:v>
      </x:c>
      <x:c r="D16" s="107" t="str">
        <x:v>ST-CMDS test（10,260条）</x:v>
      </x:c>
      <x:c r="E16" s="107" t="str">
        <x:v>CER</x:v>
      </x:c>
      <x:c r="F16" s="138" t="n">
        <x:v>0.1009</x:v>
      </x:c>
      <x:c r="G16" s="138" t="n">
        <x:f>H5</x:f>
        <x:v>0.044994</x:v>
      </x:c>
      <x:c r="H16" s="142" t="n">
        <x:f>(F16-G16)*100</x:f>
        <x:v>5.5906</x:v>
      </x:c>
      <x:c r="I16" s="107" t="str">
        <x:v>同一ST-CMDS划分；上下文ASR；使用从测试集抽取的精确实体词典</x:v>
      </x:c>
      <x:c r="J16" s="107" t="str">
        <x:v>非同测试集参考：论文test为10,260条，且测试实体词典提供额外先验</x:v>
      </x:c>
      <x:c r="K16" s="107" t="str">
        <x:v>Table 1；general scenario</x:v>
      </x:c>
      <x:c r="L16" s="107" t="str">
        <x:v>https://aclanthology.org/2024.acl-long.147/</x:v>
      </x:c>
    </x:row>
    <x:row r="17" ht="52" customHeight="1">
      <x:c r="A17" s="134" t="n">
        <x:v>2024</x:v>
      </x:c>
      <x:c r="B17" s="107" t="str">
        <x:v>CopyNE: Better Contextual ASR by Copying Named Entities</x:v>
      </x:c>
      <x:c r="C17" s="107" t="str">
        <x:v>CBA</x:v>
      </x:c>
      <x:c r="D17" s="107" t="str">
        <x:v>ST-CMDS test（10,260条）</x:v>
      </x:c>
      <x:c r="E17" s="107" t="str">
        <x:v>CER</x:v>
      </x:c>
      <x:c r="F17" s="138" t="n">
        <x:v>0.1072</x:v>
      </x:c>
      <x:c r="G17" s="138" t="n">
        <x:f>H5</x:f>
        <x:v>0.044994</x:v>
      </x:c>
      <x:c r="H17" s="142" t="n">
        <x:f>(F17-G17)*100</x:f>
        <x:v>6.2206</x:v>
      </x:c>
      <x:c r="I17" s="107" t="str">
        <x:v>同一ST-CMDS划分；上下文偏置注意力；使用从测试集抽取的精确实体词典</x:v>
      </x:c>
      <x:c r="J17" s="107" t="str">
        <x:v>非同测试集参考：论文test为10,260条，且测试实体词典提供额外先验</x:v>
      </x:c>
      <x:c r="K17" s="107" t="str">
        <x:v>Table 1；general scenario</x:v>
      </x:c>
      <x:c r="L17" s="107" t="str">
        <x:v>https://aclanthology.org/2024.acl-long.147/</x:v>
      </x:c>
    </x:row>
    <x:row r="18" ht="52" customHeight="1">
      <x:c r="A18" s="134" t="n">
        <x:v>2024</x:v>
      </x:c>
      <x:c r="B18" s="107" t="str">
        <x:v>CopyNE: Better Contextual ASR by Copying Named Entities</x:v>
      </x:c>
      <x:c r="C18" s="107" t="str">
        <x:v>CopyNE</x:v>
      </x:c>
      <x:c r="D18" s="107" t="str">
        <x:v>ST-CMDS test（10,260条）</x:v>
      </x:c>
      <x:c r="E18" s="107" t="str">
        <x:v>CER</x:v>
      </x:c>
      <x:c r="F18" s="138" t="n">
        <x:v>0.0989</x:v>
      </x:c>
      <x:c r="G18" s="138" t="n">
        <x:f>H5</x:f>
        <x:v>0.044994</x:v>
      </x:c>
      <x:c r="H18" s="142" t="n">
        <x:f>(F18-G18)*100</x:f>
        <x:v>5.3906</x:v>
      </x:c>
      <x:c r="I18" s="107" t="str">
        <x:v>同一ST-CMDS划分；实体整体复制机制；使用从测试集抽取的精确实体词典</x:v>
      </x:c>
      <x:c r="J18" s="107" t="str">
        <x:v>非同测试集参考：论文test为10,260条，且测试实体词典提供额外先验</x:v>
      </x:c>
      <x:c r="K18" s="107" t="str">
        <x:v>Table 1；general scenario</x:v>
      </x:c>
      <x:c r="L18" s="107" t="str">
        <x:v>https://aclanthology.org/2024.acl-long.147/</x:v>
      </x:c>
    </x:row>
    <x:row r="19" ht="52" customHeight="1">
      <x:c r="A19" s="134" t="n">
        <x:v>2024</x:v>
      </x:c>
      <x:c r="B19" s="107" t="str">
        <x:v>CopyNE: Better Contextual ASR by Copying Named Entities</x:v>
      </x:c>
      <x:c r="C19" s="107" t="str">
        <x:v>CopyNE†（12-layer Conformer）</x:v>
      </x:c>
      <x:c r="D19" s="107" t="str">
        <x:v>ST-CMDS test（10,260条）</x:v>
      </x:c>
      <x:c r="E19" s="107" t="str">
        <x:v>CER</x:v>
      </x:c>
      <x:c r="F19" s="138" t="n">
        <x:v>0.078</x:v>
      </x:c>
      <x:c r="G19" s="138" t="n">
        <x:f>H5</x:f>
        <x:v>0.044994</x:v>
      </x:c>
      <x:c r="H19" s="142" t="n">
        <x:f>(F19-G19)*100</x:f>
        <x:v>3.3006</x:v>
      </x:c>
      <x:c r="I19" s="107" t="str">
        <x:v>改进的12层Conformer编码器；解码时平均最佳10个epoch；使用测试实体词典</x:v>
      </x:c>
      <x:c r="J19" s="107" t="str">
        <x:v>非同测试集参考：论文test为10,260条；另有测试实体词典和checkpoint平均</x:v>
      </x:c>
      <x:c r="K19" s="107" t="str">
        <x:v>Table 1；†设置</x:v>
      </x:c>
      <x:c r="L19" s="107" t="str">
        <x:v>https://aclanthology.org/2024.acl-long.147/</x:v>
      </x:c>
    </x:row>
    <x:row r="20" ht="52" customHeight="1">
      <x:c r="A20" s="134" t="n">
        <x:v>2024</x:v>
      </x:c>
      <x:c r="B20" s="107" t="str">
        <x:v>CopyNE: Better Contextual ASR by Copying Named Entities</x:v>
      </x:c>
      <x:c r="C20" s="107" t="str">
        <x:v>Whisper-small</x:v>
      </x:c>
      <x:c r="D20" s="107" t="str">
        <x:v>ST-CMDS test（10,260条）</x:v>
      </x:c>
      <x:c r="E20" s="107" t="str">
        <x:v>CER</x:v>
      </x:c>
      <x:c r="F20" s="138" t="n">
        <x:v>0.0906</x:v>
      </x:c>
      <x:c r="G20" s="138" t="n">
        <x:f>H5</x:f>
        <x:v>0.044994</x:v>
      </x:c>
      <x:c r="H20" s="142" t="n">
        <x:f>(F20-G20)*100</x:f>
        <x:v>4.5606</x:v>
      </x:c>
      <x:c r="I20" s="107" t="str">
        <x:v>Whisper-small全参数微调；预训练约680,000小时；beam search</x:v>
      </x:c>
      <x:c r="J20" s="107" t="str">
        <x:v>非同测试集参考：论文test为10,260条；大规模预训练和解码协议不同</x:v>
      </x:c>
      <x:c r="K20" s="107" t="str">
        <x:v>Table 1</x:v>
      </x:c>
      <x:c r="L20" s="107" t="str">
        <x:v>https://aclanthology.org/2024.acl-long.147/</x:v>
      </x:c>
    </x:row>
    <x:row r="21" ht="52" customHeight="1">
      <x:c r="A21" s="134" t="n">
        <x:v>2024</x:v>
      </x:c>
      <x:c r="B21" s="107" t="str">
        <x:v>CopyNE: Better Contextual ASR by Copying Named Entities</x:v>
      </x:c>
      <x:c r="C21" s="107" t="str">
        <x:v>Whisper-small + CLAS</x:v>
      </x:c>
      <x:c r="D21" s="107" t="str">
        <x:v>ST-CMDS test（10,260条）</x:v>
      </x:c>
      <x:c r="E21" s="107" t="str">
        <x:v>CER</x:v>
      </x:c>
      <x:c r="F21" s="138" t="n">
        <x:v>0.092</x:v>
      </x:c>
      <x:c r="G21" s="138" t="n">
        <x:f>H5</x:f>
        <x:v>0.044994</x:v>
      </x:c>
      <x:c r="H21" s="142" t="n">
        <x:f>(F21-G21)*100</x:f>
        <x:v>4.7006</x:v>
      </x:c>
      <x:c r="I21" s="107" t="str">
        <x:v>Whisper-small全参数微调；CLAS上下文模块；使用测试实体词典</x:v>
      </x:c>
      <x:c r="J21" s="107" t="str">
        <x:v>非同测试集参考：论文test为10,260条；大规模预训练且使用测试实体词典</x:v>
      </x:c>
      <x:c r="K21" s="107" t="str">
        <x:v>Table 1</x:v>
      </x:c>
      <x:c r="L21" s="107" t="str">
        <x:v>https://aclanthology.org/2024.acl-long.147/</x:v>
      </x:c>
    </x:row>
    <x:row r="22" ht="52" customHeight="1">
      <x:c r="A22" s="134" t="n">
        <x:v>2024</x:v>
      </x:c>
      <x:c r="B22" s="107" t="str">
        <x:v>CopyNE: Better Contextual ASR by Copying Named Entities</x:v>
      </x:c>
      <x:c r="C22" s="107" t="str">
        <x:v>Whisper-small + CBA</x:v>
      </x:c>
      <x:c r="D22" s="107" t="str">
        <x:v>ST-CMDS test（10,260条）</x:v>
      </x:c>
      <x:c r="E22" s="107" t="str">
        <x:v>CER</x:v>
      </x:c>
      <x:c r="F22" s="138" t="n">
        <x:v>0.0787</x:v>
      </x:c>
      <x:c r="G22" s="138" t="n">
        <x:f>H5</x:f>
        <x:v>0.044994</x:v>
      </x:c>
      <x:c r="H22" s="142" t="n">
        <x:f>(F22-G22)*100</x:f>
        <x:v>3.3706000000000005</x:v>
      </x:c>
      <x:c r="I22" s="107" t="str">
        <x:v>Whisper-small全参数微调；CBA上下文模块；使用测试实体词典</x:v>
      </x:c>
      <x:c r="J22" s="107" t="str">
        <x:v>非同测试集参考：论文test为10,260条；大规模预训练且使用测试实体词典</x:v>
      </x:c>
      <x:c r="K22" s="107" t="str">
        <x:v>Table 1</x:v>
      </x:c>
      <x:c r="L22" s="107" t="str">
        <x:v>https://aclanthology.org/2024.acl-long.147/</x:v>
      </x:c>
    </x:row>
    <x:row r="23" ht="52" customHeight="1">
      <x:c r="A23" s="134" t="n">
        <x:v>2024</x:v>
      </x:c>
      <x:c r="B23" s="107" t="str">
        <x:v>CopyNE: Better Contextual ASR by Copying Named Entities</x:v>
      </x:c>
      <x:c r="C23" s="107" t="str">
        <x:v>Whisper-small + CopyNE</x:v>
      </x:c>
      <x:c r="D23" s="107" t="str">
        <x:v>ST-CMDS test（10,260条）</x:v>
      </x:c>
      <x:c r="E23" s="107" t="str">
        <x:v>CER</x:v>
      </x:c>
      <x:c r="F23" s="138" t="n">
        <x:v>0.0719</x:v>
      </x:c>
      <x:c r="G23" s="138" t="n">
        <x:f>H5</x:f>
        <x:v>0.044994</x:v>
      </x:c>
      <x:c r="H23" s="142" t="n">
        <x:f>(F23-G23)*100</x:f>
        <x:v>2.6906000000000008</x:v>
      </x:c>
      <x:c r="I23" s="107" t="str">
        <x:v>Whisper-small全参数微调；实体整体复制；使用测试实体词典</x:v>
      </x:c>
      <x:c r="J23" s="107" t="str">
        <x:v>非同测试集参考：论文test为10,260条；大规模预训练且使用测试实体词典</x:v>
      </x:c>
      <x:c r="K23" s="107" t="str">
        <x:v>Table 1</x:v>
      </x:c>
      <x:c r="L23" s="107" t="str">
        <x:v>https://aclanthology.org/2024.acl-long.147/</x:v>
      </x:c>
    </x:row>
    <x:row r="24" ht="52" customHeight="1">
      <x:c r="A24" s="134" t="n">
        <x:v>2026</x:v>
      </x:c>
      <x:c r="B24" s="107" t="str">
        <x:v>A CTC-Based Speech Recognition Network Fusing Local Convolution and Global Attention</x:v>
      </x:c>
      <x:c r="C24" s="107" t="str">
        <x:v>Transformer-CTC</x:v>
      </x:c>
      <x:c r="D24" s="107" t="str">
        <x:v>ST-CMDS test（划分未披露）</x:v>
      </x:c>
      <x:c r="E24" s="107" t="str">
        <x:v>CER</x:v>
      </x:c>
      <x:c r="F24" s="138" t="n">
        <x:v>0.0856</x:v>
      </x:c>
      <x:c r="G24" s="138" t="n">
        <x:f>H5</x:f>
        <x:v>0.044994</x:v>
      </x:c>
      <x:c r="H24" s="142" t="n">
        <x:f>(F24-G24)*100</x:f>
        <x:v>4.0606</x:v>
      </x:c>
      <x:c r="I24" s="107" t="str">
        <x:v>12层编码器；论文统一复现实验环境</x:v>
      </x:c>
      <x:c r="J24" s="107" t="str">
        <x:v>测试划分待核：论文未披露可核对样本ID；仅同数据集/CER</x:v>
      </x:c>
      <x:c r="K24" s="107" t="str">
        <x:v>Table 1；论文基线</x:v>
      </x:c>
      <x:c r="L24" s="107" t="str">
        <x:v>https://www.mdpi.com/1424-8220/26/6/1865</x:v>
      </x:c>
    </x:row>
    <x:row r="25" ht="52" customHeight="1">
      <x:c r="A25" s="134" t="n">
        <x:v>2026</x:v>
      </x:c>
      <x:c r="B25" s="107" t="str">
        <x:v>A CTC-Based Speech Recognition Network Fusing Local Convolution and Global Attention</x:v>
      </x:c>
      <x:c r="C25" s="107" t="str">
        <x:v>Conformer-CTC</x:v>
      </x:c>
      <x:c r="D25" s="107" t="str">
        <x:v>ST-CMDS test（划分未披露）</x:v>
      </x:c>
      <x:c r="E25" s="107" t="str">
        <x:v>CER</x:v>
      </x:c>
      <x:c r="F25" s="138" t="n">
        <x:v>0.0802</x:v>
      </x:c>
      <x:c r="G25" s="138" t="n">
        <x:f>H5</x:f>
        <x:v>0.044994</x:v>
      </x:c>
      <x:c r="H25" s="142" t="n">
        <x:f>(F25-G25)*100</x:f>
        <x:v>3.5205999999999995</x:v>
      </x:c>
      <x:c r="I25" s="107" t="str">
        <x:v>12层编码器；论文统一复现实验环境</x:v>
      </x:c>
      <x:c r="J25" s="107" t="str">
        <x:v>测试划分待核：论文未披露可核对样本ID；仅同数据集/CER</x:v>
      </x:c>
      <x:c r="K25" s="107" t="str">
        <x:v>Table 1；论文基线</x:v>
      </x:c>
      <x:c r="L25" s="107" t="str">
        <x:v>https://www.mdpi.com/1424-8220/26/6/1865</x:v>
      </x:c>
    </x:row>
    <x:row r="26" ht="52" customHeight="1">
      <x:c r="A26" s="134" t="n">
        <x:v>2026</x:v>
      </x:c>
      <x:c r="B26" s="107" t="str">
        <x:v>A CTC-Based Speech Recognition Network Fusing Local Convolution and Global Attention</x:v>
      </x:c>
      <x:c r="C26" s="107" t="str">
        <x:v>DBA-wav2vec 2.0</x:v>
      </x:c>
      <x:c r="D26" s="107" t="str">
        <x:v>ST-CMDS test（划分未披露）</x:v>
      </x:c>
      <x:c r="E26" s="107" t="str">
        <x:v>CER</x:v>
      </x:c>
      <x:c r="F26" s="138" t="n">
        <x:v>0.0697</x:v>
      </x:c>
      <x:c r="G26" s="138" t="n">
        <x:f>H5</x:f>
        <x:v>0.044994</x:v>
      </x:c>
      <x:c r="H26" s="142" t="n">
        <x:f>(F26-G26)*100</x:f>
        <x:v>2.4705999999999997</x:v>
      </x:c>
      <x:c r="I26" s="107" t="str">
        <x:v>论文统一复现实验环境</x:v>
      </x:c>
      <x:c r="J26" s="107" t="str">
        <x:v>测试划分待核：论文未披露可核对样本ID；仅同数据集/CER</x:v>
      </x:c>
      <x:c r="K26" s="107" t="str">
        <x:v>Table 1；论文方法</x:v>
      </x:c>
      <x:c r="L26" s="107" t="str">
        <x:v>https://www.mdpi.com/1424-8220/26/6/1865</x:v>
      </x:c>
    </x:row>
    <x:row r="27" ht="52" customHeight="1">
      <x:c r="A27" s="134" t="n">
        <x:v>2026</x:v>
      </x:c>
      <x:c r="B27" s="107" t="str">
        <x:v>A CTC-Based Speech Recognition Network Fusing Local Convolution and Global Attention</x:v>
      </x:c>
      <x:c r="C27" s="107" t="str">
        <x:v>Baseline wav2vec 2.0</x:v>
      </x:c>
      <x:c r="D27" s="107" t="str">
        <x:v>ST-CMDS test（划分未披露）</x:v>
      </x:c>
      <x:c r="E27" s="107" t="str">
        <x:v>CER</x:v>
      </x:c>
      <x:c r="F27" s="138" t="n">
        <x:v>0.0753</x:v>
      </x:c>
      <x:c r="G27" s="138" t="n">
        <x:f>H5</x:f>
        <x:v>0.044994</x:v>
      </x:c>
      <x:c r="H27" s="142" t="n">
        <x:f>(F27-G27)*100</x:f>
        <x:v>3.0306000000000006</x:v>
      </x:c>
      <x:c r="I27" s="107" t="str">
        <x:v>论文统一复现实验环境</x:v>
      </x:c>
      <x:c r="J27" s="107" t="str">
        <x:v>测试划分待核：论文未披露可核对样本ID；仅同数据集/CER</x:v>
      </x:c>
      <x:c r="K27" s="107" t="str">
        <x:v>Table 1；论文基线</x:v>
      </x:c>
      <x:c r="L27" s="107" t="str">
        <x:v>https://www.mdpi.com/1424-8220/26/6/1865</x:v>
      </x:c>
    </x:row>
    <x:row r="28" ht="52" customHeight="1">
      <x:c r="A28" s="135" t="n">
        <x:v>2026</x:v>
      </x:c>
      <x:c r="B28" s="124" t="str">
        <x:v>AS-Split Conformer: A Stage-Wise Convolution–Attention Framework with Mamba Decoder for End-to-End Speech Recognition</x:v>
      </x:c>
      <x:c r="C28" s="124" t="str">
        <x:v>Conformer baseline</x:v>
      </x:c>
      <x:c r="D28" s="124" t="str">
        <x:v>ST-CMDS test（论文重划分）</x:v>
      </x:c>
      <x:c r="E28" s="124" t="str">
        <x:v>CER</x:v>
      </x:c>
      <x:c r="F28" s="139" t="n">
        <x:v>0.049</x:v>
      </x:c>
      <x:c r="G28" s="139" t="n">
        <x:f>H5</x:f>
        <x:v>0.044994</x:v>
      </x:c>
      <x:c r="H28" s="143" t="n">
        <x:f>(F28-G28)*100</x:f>
        <x:v>0.4006000000000003</x:v>
      </x:c>
      <x:c r="I28" s="124" t="str">
        <x:v>论文将102,600条随机划为92,340/5,130/5,130；无外部LM；3个随机种子均值</x:v>
      </x:c>
      <x:c r="J28" s="124" t="str">
        <x:v>非同测试集参考：划分不同；论文方法4.2%低于我们，已按筛选规则排除</x:v>
      </x:c>
      <x:c r="K28" s="124" t="str">
        <x:v>Table 4；baseline</x:v>
      </x:c>
      <x:c r="L28" s="124" t="str">
        <x:v>https://www.mdpi.com/2079-9292/15/16/3605</x:v>
      </x:c>
    </x:row>
  </x:sheetData>
  <x:mergeCells>
    <x:mergeCell ref="A1:L1"/>
    <x:mergeCell ref="A2:L2"/>
    <x:mergeCell ref="A12:L12"/>
  </x:mergeCells>
  <x:conditionalFormatting sqref="I5:I9">
    <x:cfRule type="cellIs" dxfId="16" priority="1" operator="lessThan">
      <x:formula>0</x:formula>
    </x:cfRule>
    <x:cfRule type="cellIs" dxfId="17" priority="2" operator="greaterThan">
      <x:formula>0</x:formula>
    </x:cfRule>
  </x:conditionalFormatting>
  <x:conditionalFormatting sqref="K5:K9">
    <x:cfRule type="containsText" dxfId="18" priority="3" operator="containsText" text="leaked"/>
    <x:cfRule type="containsText" dxfId="19" priority="4" operator="containsText" text="oracle"/>
  </x:conditionalFormatting>
  <x:conditionalFormatting sqref="H14:H28">
    <x:cfRule type="cellIs" dxfId="20" priority="5" operator="greaterThan">
      <x:formula>0</x:formula>
    </x:cfRule>
    <x:cfRule type="cellIs" dxfId="21" priority="6" operator="lessThan">
      <x:formula>0</x:formula>
    </x:cfRule>
  </x:conditionalFormatting>
  <x:conditionalFormatting sqref="J14:J28">
    <x:cfRule type="containsText" dxfId="22" priority="7" operator="containsText" text="上下文参考"/>
    <x:cfRule type="containsText" dxfId="23" priority="8" operator="containsText" text="非同测试集"/>
    <x:cfRule type="containsText" dxfId="24" priority="9" operator="containsText" text="协议差异"/>
    <x:cfRule type="containsText" dxfId="25" priority="10" operator="containsText" text="测试划分待核"/>
    <x:cfRule type="containsText" dxfId="26" priority="11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1ac69c4c48a84f96"/>
    <x:tablePart xmlns:r="http://schemas.openxmlformats.org/officeDocument/2006/relationships" r:id="Rcacc26b9c4fc4a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MAGICDATA-READ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上表为我们的完整实验记录；下表只列2021–2026年中被我们主结果超过的论文设置。领先幅度为“论文错误率−我们的错误率”；这表示超过该论文中的特定系统/设置，不代表超过该论文全部模型或当前SOTA。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'实验结果'!B12</x:f>
        <x:v>MAGICDATA-READ</x:v>
      </x:c>
      <x:c r="B5" s="11" t="str">
        <x:f>'实验结果'!C12</x:f>
        <x:v>test</x:v>
      </x:c>
      <x:c r="C5" s="38" t="n">
        <x:f>'实验结果'!D12</x:f>
        <x:v>24279</x:v>
      </x:c>
      <x:c r="D5" s="42" t="str">
        <x:f>'实验结果'!E12</x:f>
        <x:v>WOITN SenseVoice 10-best + domain COVO</x:v>
      </x:c>
      <x:c r="E5" s="42" t="str">
        <x:f>'实验结果'!F12</x:f>
        <x:v>checkpoint-18000 4B</x:v>
      </x:c>
      <x:c r="F5" s="11" t="str">
        <x:f>'实验结果'!G12</x:f>
        <x:v>CER</x:v>
      </x:c>
      <x:c r="G5" s="26" t="n">
        <x:f>'实验结果'!H12</x:f>
        <x:v>0.037245</x:v>
      </x:c>
      <x:c r="H5" s="26" t="n">
        <x:f>'实验结果'!I12</x:f>
        <x:v>0.034672999999999995</x:v>
      </x:c>
      <x:c r="I5" s="30" t="n">
        <x:f>'实验结果'!J12</x:f>
        <x:v>-0.2572000000000005</x:v>
      </x:c>
      <x:c r="J5" s="34" t="n">
        <x:f>'实验结果'!K12</x:f>
        <x:v>-0.06905624916096131</x:v>
      </x:c>
      <x:c r="K5" s="42" t="str">
        <x:f>'实验结果'!O12</x:f>
        <x:v>full_held_out</x:v>
      </x:c>
      <x:c r="L5" s="42" t="str">
        <x:f>'实验结果'!P12</x:f>
        <x:v>old domain-COVO protocol</x:v>
      </x:c>
    </x:row>
    <x:row r="6" ht="38" customHeight="1">
      <x:c r="A6" s="11" t="str">
        <x:f>'实验结果'!B13</x:f>
        <x:v>MAGICDATA-READ</x:v>
      </x:c>
      <x:c r="B6" s="11" t="str">
        <x:f>'实验结果'!C13</x:f>
        <x:v>test</x:v>
      </x:c>
      <x:c r="C6" s="38" t="n">
        <x:f>'实验结果'!D13</x:f>
        <x:v>24279</x:v>
      </x:c>
      <x:c r="D6" s="42" t="str">
        <x:f>'实验结果'!E13</x:f>
        <x:v>WOITN SenseVoice 10-best + original-style COVO</x:v>
      </x:c>
      <x:c r="E6" s="42" t="str">
        <x:f>'实验结果'!F13</x:f>
        <x:v>checkpoint-20000 4B</x:v>
      </x:c>
      <x:c r="F6" s="11" t="str">
        <x:f>'实验结果'!G13</x:f>
        <x:v>CER</x:v>
      </x:c>
      <x:c r="G6" s="26" t="n">
        <x:f>'实验结果'!H13</x:f>
        <x:v>0.037245</x:v>
      </x:c>
      <x:c r="H6" s="26" t="n">
        <x:f>'实验结果'!I13</x:f>
        <x:v>0.024902999999999998</x:v>
      </x:c>
      <x:c r="I6" s="30" t="n">
        <x:f>'实验结果'!J13</x:f>
        <x:v>-1.2342000000000002</x:v>
      </x:c>
      <x:c r="J6" s="34" t="n">
        <x:f>'实验结果'!K13</x:f>
        <x:v>-0.33137333870318164</x:v>
      </x:c>
      <x:c r="K6" s="42" t="str">
        <x:f>'实验结果'!O13</x:f>
        <x:v>full_held_out</x:v>
      </x:c>
      <x:c r="L6" s="42" t="str">
        <x:f>'实验结果'!P13</x:f>
        <x:v>full test on 2026-08-07</x:v>
      </x:c>
    </x:row>
    <x:row r="7" ht="38" customHeight="1">
      <x:c r="A7" s="11" t="str">
        <x:f>'实验结果'!B14</x:f>
        <x:v>MAGICDATA-READ</x:v>
      </x:c>
      <x:c r="B7" s="11" t="str">
        <x:f>'实验结果'!C14</x:f>
        <x:v>test</x:v>
      </x:c>
      <x:c r="C7" s="38" t="n">
        <x:f>'实验结果'!D14</x:f>
        <x:v>24279</x:v>
      </x:c>
      <x:c r="D7" s="42" t="str">
        <x:f>'实验结果'!E14</x:f>
        <x:v>WOITN SenseVoice 10-best + Qwen3.5-9B</x:v>
      </x:c>
      <x:c r="E7" s="42" t="str">
        <x:f>'实验结果'!F14</x:f>
        <x:v>MAGICDATA checkpoint-39185</x:v>
      </x:c>
      <x:c r="F7" s="11" t="str">
        <x:f>'实验结果'!G14</x:f>
        <x:v>CER</x:v>
      </x:c>
      <x:c r="G7" s="26" t="n">
        <x:f>'实验结果'!H14</x:f>
        <x:v>0.037245</x:v>
      </x:c>
      <x:c r="H7" s="26" t="n">
        <x:f>'实验结果'!I14</x:f>
        <x:v>0.024333999999999998</x:v>
      </x:c>
      <x:c r="I7" s="30" t="n">
        <x:f>'实验结果'!J14</x:f>
        <x:v>-1.2911000000000001</x:v>
      </x:c>
      <x:c r="J7" s="34" t="n">
        <x:f>'实验结果'!K14</x:f>
        <x:v>-0.3466505571217614</x:v>
      </x:c>
      <x:c r="K7" s="42" t="str">
        <x:f>'实验结果'!O14</x:f>
        <x:v>full_held_out</x:v>
      </x:c>
      <x:c r="L7" s="42" t="str">
        <x:f>'实验结果'!P14</x:f>
        <x:v>checkpoint selected on dev only</x:v>
      </x:c>
    </x:row>
    <x:row r="8" ht="38" customHeight="1">
      <x:c r="A8" s="12" t="str">
        <x:f>'实验结果'!B15</x:f>
        <x:v>MAGICDATA-READ</x:v>
      </x:c>
      <x:c r="B8" s="12" t="str">
        <x:f>'实验结果'!C15</x:f>
        <x:v>test</x:v>
      </x:c>
      <x:c r="C8" s="39" t="n">
        <x:f>'实验结果'!D15</x:f>
        <x:v>24279</x:v>
      </x:c>
      <x:c r="D8" s="43" t="str">
        <x:f>'实验结果'!E15</x:f>
        <x:v>OracleLex-6000 CB-SenseVoice + Qwen3.5-9B</x:v>
      </x:c>
      <x:c r="E8" s="43" t="str">
        <x:f>'实验结果'!F15</x:f>
        <x:v>MAGICDATA checkpoint-39185</x:v>
      </x:c>
      <x:c r="F8" s="12" t="str">
        <x:f>'实验结果'!G15</x:f>
        <x:v>CER</x:v>
      </x:c>
      <x:c r="G8" s="27" t="n">
        <x:f>'实验结果'!H15</x:f>
        <x:v>0.037003</x:v>
      </x:c>
      <x:c r="H8" s="27" t="n">
        <x:f>'实验结果'!I15</x:f>
        <x:v>0.027416</x:v>
      </x:c>
      <x:c r="I8" s="31" t="n">
        <x:f>'实验结果'!J15</x:f>
        <x:v>-0.9587000000000002</x:v>
      </x:c>
      <x:c r="J8" s="35" t="n">
        <x:f>'实验结果'!K15</x:f>
        <x:v>-0.2590871010458612</x:v>
      </x:c>
      <x:c r="K8" s="43" t="str">
        <x:f>'实验结果'!O15</x:f>
        <x:v>leaked_diagnostic</x:v>
      </x:c>
      <x:c r="L8" s="43" t="str">
        <x:f>'实验结果'!P15</x:f>
        <x:v>6000-word vocabulary extracted from test references</x:v>
      </x:c>
    </x:row>
    <x:row r="11" ht="28" customHeight="1">
      <x:c r="A11" s="120" t="str">
        <x:v>我们能够超过的 2021–2026 年论文结果</x:v>
      </x:c>
      <x:c r="B11" s="120"/>
      <x:c r="C11" s="120"/>
      <x:c r="D11" s="120"/>
      <x:c r="E11" s="120"/>
      <x:c r="F11" s="120"/>
      <x:c r="G11" s="120"/>
      <x:c r="H11" s="120"/>
      <x:c r="I11" s="120"/>
      <x:c r="J11" s="120"/>
      <x:c r="K11" s="120"/>
      <x:c r="L11" s="120"/>
    </x:row>
    <x:row r="12" ht="34" customHeight="1">
      <x:c r="A12" s="74" t="str">
        <x:v>年份</x:v>
      </x:c>
      <x:c r="B12" s="74" t="str">
        <x:v>论文</x:v>
      </x:c>
      <x:c r="C12" s="74" t="str">
        <x:v>模型 / 系统</x:v>
      </x:c>
      <x:c r="D12" s="74" t="str">
        <x:v>测试范围</x:v>
      </x:c>
      <x:c r="E12" s="74" t="str">
        <x:v>指标</x:v>
      </x:c>
      <x:c r="F12" s="74" t="str">
        <x:v>论文错误率</x:v>
      </x:c>
      <x:c r="G12" s="74" t="str">
        <x:v>我们的错误率</x:v>
      </x:c>
      <x:c r="H12" s="74" t="str">
        <x:v>领先 (pp)</x:v>
      </x:c>
      <x:c r="I12" s="74" t="str">
        <x:v>训练/解码设置</x:v>
      </x:c>
      <x:c r="J12" s="74" t="str">
        <x:v>可比性</x:v>
      </x:c>
      <x:c r="K12" s="74" t="str">
        <x:v>论文位置</x:v>
      </x:c>
      <x:c r="L12" s="74" t="str">
        <x:v>来源 URL</x:v>
      </x:c>
    </x:row>
    <x:row r="13" ht="52" customHeight="1">
      <x:c r="A13" s="134" t="n">
        <x:v>2021</x:v>
      </x:c>
      <x:c r="B13" s="107" t="str">
        <x:v>An Investigation of Using Hybrid Modeling Units for Improving End-to-End Speech Recognition System</x:v>
      </x:c>
      <x:c r="C13" s="107" t="str">
        <x:v>Syllable-char-subword（CTC weight 0.2）</x:v>
      </x:c>
      <x:c r="D13" s="107" t="str">
        <x:v>MAGICDATA-READ test</x:v>
      </x:c>
      <x:c r="E13" s="107" t="str">
        <x:v>CER</x:v>
      </x:c>
      <x:c r="F13" s="138" t="n">
        <x:v>0.0551</x:v>
      </x:c>
      <x:c r="G13" s="138" t="n">
        <x:f>H7</x:f>
        <x:v>0.024333999999999998</x:v>
      </x:c>
      <x:c r="H13" s="142" t="n">
        <x:f>(F13-G13)*100</x:f>
        <x:v>3.0766000000000004</x:v>
      </x:c>
      <x:c r="I13" s="107" t="str">
        <x:v>约1,200小时OpenSLR多语料联合训练；Transformer；含LM/CTC解码权重</x:v>
      </x:c>
      <x:c r="J13" s="107" t="str">
        <x:v>直接参考：同MAGICDATA-READ测试集与CER；训练为多语料联合</x:v>
      </x:c>
      <x:c r="K13" s="107" t="str">
        <x:v>Table 4</x:v>
      </x:c>
      <x:c r="L13" s="107" t="str">
        <x:v>https://doi.org/10.1109/ICASSP39728.2021.9414598</x:v>
      </x:c>
    </x:row>
    <x:row r="14" ht="52" customHeight="1">
      <x:c r="A14" s="134" t="n">
        <x:v>2022</x:v>
      </x:c>
      <x:c r="B14" s="107" t="str">
        <x:v>Pronunciation-Aware Unique Character Encoding for RNN Transducer-Based Mandarin Speech Recognition</x:v>
      </x:c>
      <x:c r="C14" s="107" t="str">
        <x:v>RNN-T char-word（5000）</x:v>
      </x:c>
      <x:c r="D14" s="107" t="str">
        <x:v>MAGICDATA-READ test</x:v>
      </x:c>
      <x:c r="E14" s="107" t="str">
        <x:v>CER</x:v>
      </x:c>
      <x:c r="F14" s="138" t="n">
        <x:v>0.0376</x:v>
      </x:c>
      <x:c r="G14" s="138" t="n">
        <x:f>H7</x:f>
        <x:v>0.024333999999999998</x:v>
      </x:c>
      <x:c r="H14" s="142" t="n">
        <x:f>(F14-G14)*100</x:f>
        <x:v>1.3266000000000004</x:v>
      </x:c>
      <x:c r="I14" s="107" t="str">
        <x:v>MAGICDATA-READ训练；Conformer RNN-T；5000个char-word单元</x:v>
      </x:c>
      <x:c r="J14" s="107" t="str">
        <x:v>直接参考：同标准测试集与CER；模型/归一化协议不同</x:v>
      </x:c>
      <x:c r="K14" s="107" t="str">
        <x:v>Table 1 / Table 3</x:v>
      </x:c>
      <x:c r="L14" s="107" t="str">
        <x:v>https://arxiv.org/abs/2207.14578</x:v>
      </x:c>
    </x:row>
    <x:row r="15" ht="52" customHeight="1">
      <x:c r="A15" s="134" t="n">
        <x:v>2022</x:v>
      </x:c>
      <x:c r="B15" s="107" t="str">
        <x:v>Pronunciation-Aware Unique Character Encoding for RNN Transducer-Based Mandarin Speech Recognition</x:v>
      </x:c>
      <x:c r="C15" s="107" t="str">
        <x:v>PUCE（1000 units）</x:v>
      </x:c>
      <x:c r="D15" s="107" t="str">
        <x:v>MAGICDATA-READ test</x:v>
      </x:c>
      <x:c r="E15" s="107" t="str">
        <x:v>CER</x:v>
      </x:c>
      <x:c r="F15" s="138" t="n">
        <x:v>0.0346</x:v>
      </x:c>
      <x:c r="G15" s="138" t="n">
        <x:f>H7</x:f>
        <x:v>0.024333999999999998</x:v>
      </x:c>
      <x:c r="H15" s="142" t="n">
        <x:f>(F15-G15)*100</x:f>
        <x:v>1.0266000000000002</x:v>
      </x:c>
      <x:c r="I15" s="107" t="str">
        <x:v>MAGICDATA-READ训练；Conformer RNN-T；无外部LM重排</x:v>
      </x:c>
      <x:c r="J15" s="107" t="str">
        <x:v>直接参考：同标准测试集与CER；模型/归一化协议不同</x:v>
      </x:c>
      <x:c r="K15" s="107" t="str">
        <x:v>Table 2 / Table 3</x:v>
      </x:c>
      <x:c r="L15" s="107" t="str">
        <x:v>https://arxiv.org/abs/2207.14578</x:v>
      </x:c>
    </x:row>
    <x:row r="16" ht="52" customHeight="1">
      <x:c r="A16" s="134" t="n">
        <x:v>2022</x:v>
      </x:c>
      <x:c r="B16" s="107" t="str">
        <x:v>Pronunciation-Aware Unique Character Encoding for RNN Transducer-Based Mandarin Speech Recognition</x:v>
      </x:c>
      <x:c r="C16" s="107" t="str">
        <x:v>PUCE（1000）+ CI-based rescoring</x:v>
      </x:c>
      <x:c r="D16" s="107" t="str">
        <x:v>MAGICDATA-READ test</x:v>
      </x:c>
      <x:c r="E16" s="107" t="str">
        <x:v>CER</x:v>
      </x:c>
      <x:c r="F16" s="138" t="n">
        <x:v>0.0332</x:v>
      </x:c>
      <x:c r="G16" s="138" t="n">
        <x:f>H7</x:f>
        <x:v>0.024333999999999998</x:v>
      </x:c>
      <x:c r="H16" s="142" t="n">
        <x:f>(F16-G16)*100</x:f>
        <x:v>0.8866000000000003</x:v>
      </x:c>
      <x:c r="I16" s="107" t="str">
        <x:v>MAGICDATA-READ训练；Transformer LM对CI-based N-best重排；权重由dev确定</x:v>
      </x:c>
      <x:c r="J16" s="107" t="str">
        <x:v>直接参考：同标准测试集与CER；使用外部LM重排</x:v>
      </x:c>
      <x:c r="K16" s="107" t="str">
        <x:v>Table 3</x:v>
      </x:c>
      <x:c r="L16" s="107" t="str">
        <x:v>https://arxiv.org/abs/2207.14578</x:v>
      </x:c>
    </x:row>
    <x:row r="17" ht="52" customHeight="1">
      <x:c r="A17" s="134" t="n">
        <x:v>2024</x:v>
      </x:c>
      <x:c r="B17" s="107" t="str">
        <x:v>Towards Inclusive Automatic Speech Recognition</x:v>
      </x:c>
      <x:c r="C17" s="107" t="str">
        <x:v>TDNNF hybrid</x:v>
      </x:c>
      <x:c r="D17" s="107" t="str">
        <x:v>MAGICDATA-READ test（论文重划分）</x:v>
      </x:c>
      <x:c r="E17" s="107" t="str">
        <x:v>CER</x:v>
      </x:c>
      <x:c r="F17" s="138" t="n">
        <x:v>0.033</x:v>
      </x:c>
      <x:c r="G17" s="138" t="n">
        <x:f>H7</x:f>
        <x:v>0.024333999999999998</x:v>
      </x:c>
      <x:c r="H17" s="142" t="n">
        <x:f>(F17-G17)*100</x:f>
        <x:v>0.8666000000000004</x:v>
      </x:c>
      <x:c r="I17" s="107" t="str">
        <x:v>MAGICDATA训练；Kaldi TDNNF hybrid；论文为口音/性别平衡调整了test划分</x:v>
      </x:c>
      <x:c r="J17" s="107" t="str">
        <x:v>非同测试集参考：论文将部分train/dev说话人移入test；不可作严格同榜比较</x:v>
      </x:c>
      <x:c r="K17" s="107" t="str">
        <x:v>Section 3.2 / Table C.2</x:v>
      </x:c>
      <x:c r="L17" s="107" t="str">
        <x:v>https://doi.org/10.1016/j.csl.2023.101567</x:v>
      </x:c>
    </x:row>
    <x:row r="18" ht="52" customHeight="1">
      <x:c r="A18" s="134" t="n">
        <x:v>2024</x:v>
      </x:c>
      <x:c r="B18" s="107" t="str">
        <x:v>Towards Inclusive Automatic Speech Recognition</x:v>
      </x:c>
      <x:c r="C18" s="107" t="str">
        <x:v>Conformer E2E</x:v>
      </x:c>
      <x:c r="D18" s="107" t="str">
        <x:v>MAGICDATA-READ test（论文重划分）</x:v>
      </x:c>
      <x:c r="E18" s="107" t="str">
        <x:v>CER</x:v>
      </x:c>
      <x:c r="F18" s="138" t="n">
        <x:v>0.029</x:v>
      </x:c>
      <x:c r="G18" s="138" t="n">
        <x:f>H7</x:f>
        <x:v>0.024333999999999998</x:v>
      </x:c>
      <x:c r="H18" s="142" t="n">
        <x:f>(F18-G18)*100</x:f>
        <x:v>0.46660000000000035</x:v>
      </x:c>
      <x:c r="I18" s="107" t="str">
        <x:v>MAGICDATA训练；ESPnet Conformer encoder-decoder；论文为口音/性别平衡调整了test划分</x:v>
      </x:c>
      <x:c r="J18" s="107" t="str">
        <x:v>非同测试集参考：论文将部分train/dev说话人移入test；不可作严格同榜比较</x:v>
      </x:c>
      <x:c r="K18" s="107" t="str">
        <x:v>Section 3.2 / Table C.2</x:v>
      </x:c>
      <x:c r="L18" s="107" t="str">
        <x:v>https://doi.org/10.1016/j.csl.2023.101567</x:v>
      </x:c>
    </x:row>
    <x:row r="19" ht="52" customHeight="1">
      <x:c r="A19" s="134" t="n">
        <x:v>2026</x:v>
      </x:c>
      <x:c r="B19" s="107" t="str">
        <x:v>MOSS-Audio Technical Report</x:v>
      </x:c>
      <x:c r="C19" s="107" t="str">
        <x:v>Qwen3-Omni-Instruct</x:v>
      </x:c>
      <x:c r="D19" s="107" t="str">
        <x:v>MAGICDATA-READ test</x:v>
      </x:c>
      <x:c r="E19" s="107" t="str">
        <x:v>CER</x:v>
      </x:c>
      <x:c r="F19" s="138" t="n">
        <x:v>0.0247</x:v>
      </x:c>
      <x:c r="G19" s="138" t="n">
        <x:f>H7</x:f>
        <x:v>0.024333999999999998</x:v>
      </x:c>
      <x:c r="H19" s="142" t="n">
        <x:f>(F19-G19)*100</x:f>
        <x:v>0.036600000000000174</x:v>
      </x:c>
      <x:c r="I19" s="107" t="str">
        <x:v>统一多模态预训练模型</x:v>
      </x:c>
      <x:c r="J19" s="107" t="str">
        <x:v>参考对比：训练数据规模与解码协议不同</x:v>
      </x:c>
      <x:c r="K19" s="107" t="str">
        <x:v>Table 5</x:v>
      </x:c>
      <x:c r="L19" s="107" t="str">
        <x:v>https://arxiv.org/abs/2606.01802</x:v>
      </x:c>
    </x:row>
    <x:row r="20" ht="52" customHeight="1">
      <x:c r="A20" s="134" t="n">
        <x:v>2026</x:v>
      </x:c>
      <x:c r="B20" s="107" t="str">
        <x:v>MOSS-Audio Technical Report</x:v>
      </x:c>
      <x:c r="C20" s="107" t="str">
        <x:v>Qwen2.5-Omni-7B</x:v>
      </x:c>
      <x:c r="D20" s="107" t="str">
        <x:v>MAGICDATA-READ test</x:v>
      </x:c>
      <x:c r="E20" s="107" t="str">
        <x:v>CER</x:v>
      </x:c>
      <x:c r="F20" s="138" t="n">
        <x:v>0.0316</x:v>
      </x:c>
      <x:c r="G20" s="138" t="n">
        <x:f>H7</x:f>
        <x:v>0.024333999999999998</x:v>
      </x:c>
      <x:c r="H20" s="142" t="n">
        <x:f>(F20-G20)*100</x:f>
        <x:v>0.7266000000000005</x:v>
      </x:c>
      <x:c r="I20" s="107" t="str">
        <x:v>论文统一评测中的公开多模态模型</x:v>
      </x:c>
      <x:c r="J20" s="107" t="str">
        <x:v>参考对比：同测试集与CER；训练数据规模与解码协议不同</x:v>
      </x:c>
      <x:c r="K20" s="107" t="str">
        <x:v>Table 5</x:v>
      </x:c>
      <x:c r="L20" s="107" t="str">
        <x:v>https://arxiv.org/abs/2606.01802</x:v>
      </x:c>
    </x:row>
    <x:row r="21" ht="52" customHeight="1">
      <x:c r="A21" s="134" t="n">
        <x:v>2026</x:v>
      </x:c>
      <x:c r="B21" s="107" t="str">
        <x:v>MOSS-Audio Technical Report</x:v>
      </x:c>
      <x:c r="C21" s="107" t="str">
        <x:v>Fun-ASR-Nano</x:v>
      </x:c>
      <x:c r="D21" s="107" t="str">
        <x:v>MAGICDATA-READ test</x:v>
      </x:c>
      <x:c r="E21" s="107" t="str">
        <x:v>CER</x:v>
      </x:c>
      <x:c r="F21" s="138" t="n">
        <x:v>0.0346</x:v>
      </x:c>
      <x:c r="G21" s="138" t="n">
        <x:f>H7</x:f>
        <x:v>0.024333999999999998</x:v>
      </x:c>
      <x:c r="H21" s="142" t="n">
        <x:f>(F21-G21)*100</x:f>
        <x:v>1.0266000000000002</x:v>
      </x:c>
      <x:c r="I21" s="107" t="str">
        <x:v>论文统一评测中的公开ASR模型</x:v>
      </x:c>
      <x:c r="J21" s="107" t="str">
        <x:v>参考对比：同测试集与CER；训练数据与解码协议不同</x:v>
      </x:c>
      <x:c r="K21" s="107" t="str">
        <x:v>Table 5</x:v>
      </x:c>
      <x:c r="L21" s="107" t="str">
        <x:v>https://arxiv.org/abs/2606.01802</x:v>
      </x:c>
    </x:row>
    <x:row r="22" ht="52" customHeight="1">
      <x:c r="A22" s="134" t="n">
        <x:v>2026</x:v>
      </x:c>
      <x:c r="B22" s="107" t="str">
        <x:v>MOSS-Audio Technical Report</x:v>
      </x:c>
      <x:c r="C22" s="107" t="str">
        <x:v>SenseVoice-Small</x:v>
      </x:c>
      <x:c r="D22" s="107" t="str">
        <x:v>MAGICDATA-READ test</x:v>
      </x:c>
      <x:c r="E22" s="107" t="str">
        <x:v>CER</x:v>
      </x:c>
      <x:c r="F22" s="138" t="n">
        <x:v>0.0493</x:v>
      </x:c>
      <x:c r="G22" s="138" t="n">
        <x:f>H7</x:f>
        <x:v>0.024333999999999998</x:v>
      </x:c>
      <x:c r="H22" s="142" t="n">
        <x:f>(F22-G22)*100</x:f>
        <x:v>2.4966</x:v>
      </x:c>
      <x:c r="I22" s="107" t="str">
        <x:v>论文统一评测中的公开ASR模型</x:v>
      </x:c>
      <x:c r="J22" s="107" t="str">
        <x:v>参考对比：同测试集与CER；训练数据与解码协议不同</x:v>
      </x:c>
      <x:c r="K22" s="107" t="str">
        <x:v>Table 5</x:v>
      </x:c>
      <x:c r="L22" s="107" t="str">
        <x:v>https://arxiv.org/abs/2606.01802</x:v>
      </x:c>
    </x:row>
    <x:row r="23" ht="52" customHeight="1">
      <x:c r="A23" s="135" t="n">
        <x:v>2026</x:v>
      </x:c>
      <x:c r="B23" s="124" t="str">
        <x:v>MOSS-Audio Technical Report</x:v>
      </x:c>
      <x:c r="C23" s="124" t="str">
        <x:v>MOSS-Audio-8B-Instruct</x:v>
      </x:c>
      <x:c r="D23" s="124" t="str">
        <x:v>MAGICDATA-READ test</x:v>
      </x:c>
      <x:c r="E23" s="124" t="str">
        <x:v>CER</x:v>
      </x:c>
      <x:c r="F23" s="139" t="n">
        <x:v>0.032</x:v>
      </x:c>
      <x:c r="G23" s="139" t="n">
        <x:f>H7</x:f>
        <x:v>0.024333999999999998</x:v>
      </x:c>
      <x:c r="H23" s="143" t="n">
        <x:f>(F23-G23)*100</x:f>
        <x:v>0.7666000000000003</x:v>
      </x:c>
      <x:c r="I23" s="124" t="str">
        <x:v>大规模音频语言预训练；8B Instruct</x:v>
      </x:c>
      <x:c r="J23" s="124" t="str">
        <x:v>参考对比：预训练数据与系统形态不同</x:v>
      </x:c>
      <x:c r="K23" s="124" t="str">
        <x:v>Table 5</x:v>
      </x:c>
      <x:c r="L23" s="124" t="str">
        <x:v>https://arxiv.org/abs/2606.01802</x:v>
      </x:c>
    </x:row>
  </x:sheetData>
  <x:mergeCells>
    <x:mergeCell ref="A1:L1"/>
    <x:mergeCell ref="A2:L2"/>
    <x:mergeCell ref="A11:L11"/>
  </x:mergeCells>
  <x:conditionalFormatting sqref="I5:I8">
    <x:cfRule type="cellIs" dxfId="27" priority="1" operator="lessThan">
      <x:formula>0</x:formula>
    </x:cfRule>
    <x:cfRule type="cellIs" dxfId="28" priority="2" operator="greaterThan">
      <x:formula>0</x:formula>
    </x:cfRule>
  </x:conditionalFormatting>
  <x:conditionalFormatting sqref="K5:K8">
    <x:cfRule type="containsText" dxfId="29" priority="3" operator="containsText" text="leaked"/>
    <x:cfRule type="containsText" dxfId="30" priority="4" operator="containsText" text="oracle"/>
  </x:conditionalFormatting>
  <x:conditionalFormatting sqref="H13:H23">
    <x:cfRule type="cellIs" dxfId="31" priority="5" operator="greaterThan">
      <x:formula>0</x:formula>
    </x:cfRule>
    <x:cfRule type="cellIs" dxfId="32" priority="6" operator="lessThan">
      <x:formula>0</x:formula>
    </x:cfRule>
  </x:conditionalFormatting>
  <x:conditionalFormatting sqref="J13:J23">
    <x:cfRule type="containsText" dxfId="33" priority="7" operator="containsText" text="上下文参考"/>
    <x:cfRule type="containsText" dxfId="34" priority="8" operator="containsText" text="非同测试集"/>
    <x:cfRule type="containsText" dxfId="35" priority="9" operator="containsText" text="协议差异"/>
    <x:cfRule type="containsText" dxfId="36" priority="10" operator="containsText" text="测试划分待核"/>
    <x:cfRule type="containsText" dxfId="37" priority="11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87fddf07cfbf4993"/>
    <x:tablePart xmlns:r="http://schemas.openxmlformats.org/officeDocument/2006/relationships" r:id="R1220e84142734a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THCHS-30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'实验结果'!B16</x:f>
        <x:v>THCHS-30</x:v>
      </x:c>
      <x:c r="B5" s="11" t="str">
        <x:f>'实验结果'!C16</x:f>
        <x:v>test</x:v>
      </x:c>
      <x:c r="C5" s="38" t="n">
        <x:f>'实验结果'!D16</x:f>
        <x:v>2495</x:v>
      </x:c>
      <x:c r="D5" s="42" t="str">
        <x:f>'实验结果'!E16</x:f>
        <x:v>SenseVoice 10-best + acoustic-listwise COVO</x:v>
      </x:c>
      <x:c r="E5" s="42" t="str">
        <x:f>'实验结果'!F16</x:f>
        <x:v>AISHELL acoustic 4B</x:v>
      </x:c>
      <x:c r="F5" s="11" t="str">
        <x:f>'实验结果'!G16</x:f>
        <x:v>CER</x:v>
      </x:c>
      <x:c r="G5" s="26" t="n">
        <x:f>'实验结果'!H16</x:f>
        <x:v>0.051664</x:v>
      </x:c>
      <x:c r="H5" s="26" t="n">
        <x:f>'实验结果'!I16</x:f>
        <x:v>0.042175000000000004</x:v>
      </x:c>
      <x:c r="I5" s="30" t="n">
        <x:f>'实验结果'!J16</x:f>
        <x:v>-0.9488999999999997</x:v>
      </x:c>
      <x:c r="J5" s="34" t="n">
        <x:f>'实验结果'!K16</x:f>
        <x:v>-0.18366754413130992</x:v>
      </x:c>
      <x:c r="K5" s="42" t="str">
        <x:f>'实验结果'!O16</x:f>
        <x:v>full_cross_domain</x:v>
      </x:c>
      <x:c r="L5" s="42" t="str">
        <x:f>'实验结果'!P16</x:f>
        <x:v>no THCHS-30 training</x:v>
      </x:c>
    </x:row>
    <x:row r="6" ht="38" customHeight="1">
      <x:c r="A6" s="11" t="str">
        <x:f>'实验结果'!B17</x:f>
        <x:v>THCHS-30</x:v>
      </x:c>
      <x:c r="B6" s="11" t="str">
        <x:f>'实验结果'!C17</x:f>
        <x:v>test</x:v>
      </x:c>
      <x:c r="C6" s="38" t="n">
        <x:f>'实验结果'!D17</x:f>
        <x:v>2495</x:v>
      </x:c>
      <x:c r="D6" s="42" t="str">
        <x:f>'实验结果'!E17</x:f>
        <x:v>SenseVoice 10-best + original-style COVO</x:v>
      </x:c>
      <x:c r="E6" s="42" t="str">
        <x:f>'实验结果'!F17</x:f>
        <x:v>MAGICDATA checkpoint-20000 4B</x:v>
      </x:c>
      <x:c r="F6" s="11" t="str">
        <x:f>'实验结果'!G17</x:f>
        <x:v>CER</x:v>
      </x:c>
      <x:c r="G6" s="26" t="n">
        <x:f>'实验结果'!H17</x:f>
        <x:v>0.051664</x:v>
      </x:c>
      <x:c r="H6" s="26" t="n">
        <x:f>'实验结果'!I17</x:f>
        <x:v>0.047535999999999995</x:v>
      </x:c>
      <x:c r="I6" s="30" t="n">
        <x:f>'实验结果'!J17</x:f>
        <x:v>-0.41280000000000067</x:v>
      </x:c>
      <x:c r="J6" s="34" t="n">
        <x:f>'实验结果'!K17</x:f>
        <x:v>-0.07990089811087031</x:v>
      </x:c>
      <x:c r="K6" s="42" t="str">
        <x:f>'实验结果'!O17</x:f>
        <x:v>full_cross_domain</x:v>
      </x:c>
      <x:c r="L6" s="42" t="str">
        <x:f>'实验结果'!P17</x:f>
        <x:v>no THCHS-30 training</x:v>
      </x:c>
    </x:row>
    <x:row r="7" ht="38" customHeight="1">
      <x:c r="A7" s="11" t="str">
        <x:f>'实验结果'!B18</x:f>
        <x:v>THCHS-30</x:v>
      </x:c>
      <x:c r="B7" s="11" t="str">
        <x:f>'实验结果'!C18</x:f>
        <x:v>test</x:v>
      </x:c>
      <x:c r="C7" s="38" t="n">
        <x:f>'实验结果'!D18</x:f>
        <x:v>2495</x:v>
      </x:c>
      <x:c r="D7" s="42" t="str">
        <x:f>'实验结果'!E18</x:f>
        <x:v>CB-SenseVoice-style bridge + COVO</x:v>
      </x:c>
      <x:c r="E7" s="42" t="str">
        <x:f>'实验结果'!F18</x:f>
        <x:v>MAGICDATA checkpoint-20000 4B</x:v>
      </x:c>
      <x:c r="F7" s="11" t="str">
        <x:f>'实验结果'!G18</x:f>
        <x:v>CER</x:v>
      </x:c>
      <x:c r="G7" s="26" t="n">
        <x:f>'实验结果'!H18</x:f>
        <x:v>0.051664</x:v>
      </x:c>
      <x:c r="H7" s="26" t="n">
        <x:f>'实验结果'!I18</x:f>
        <x:v>0.047215</x:v>
      </x:c>
      <x:c r="I7" s="30" t="n">
        <x:f>'实验结果'!J18</x:f>
        <x:v>-0.4449000000000002</x:v>
      </x:c>
      <x:c r="J7" s="34" t="n">
        <x:f>'实验结果'!K18</x:f>
        <x:v>-0.08611412201920099</x:v>
      </x:c>
      <x:c r="K7" s="42" t="str">
        <x:f>'实验结果'!O18</x:f>
        <x:v>full_cross_domain</x:v>
      </x:c>
      <x:c r="L7" s="42" t="str">
        <x:f>'实验结果'!P18</x:f>
        <x:v>no THCHS-30 tuning</x:v>
      </x:c>
    </x:row>
    <x:row r="8" ht="38" customHeight="1">
      <x:c r="A8" s="11" t="str">
        <x:f>'实验结果'!B19</x:f>
        <x:v>THCHS-30</x:v>
      </x:c>
      <x:c r="B8" s="11" t="str">
        <x:f>'实验结果'!C19</x:f>
        <x:v>test</x:v>
      </x:c>
      <x:c r="C8" s="38" t="n">
        <x:f>'实验结果'!D19</x:f>
        <x:v>2495</x:v>
      </x:c>
      <x:c r="D8" s="42" t="str">
        <x:f>'实验结果'!E19</x:f>
        <x:v>SenseVoice 10-best + Qwen3.5-9B</x:v>
      </x:c>
      <x:c r="E8" s="42" t="str">
        <x:f>'实验结果'!F19</x:f>
        <x:v>MAGICDATA checkpoint-39185</x:v>
      </x:c>
      <x:c r="F8" s="11" t="str">
        <x:f>'实验结果'!G19</x:f>
        <x:v>CER</x:v>
      </x:c>
      <x:c r="G8" s="26" t="n">
        <x:f>'实验结果'!H19</x:f>
        <x:v>0.051664</x:v>
      </x:c>
      <x:c r="H8" s="26" t="n">
        <x:f>'实验结果'!I19</x:f>
        <x:v>0.04402300000000001</x:v>
      </x:c>
      <x:c r="I8" s="30" t="n">
        <x:f>'实验结果'!J19</x:f>
        <x:v>-0.7640999999999996</x:v>
      </x:c>
      <x:c r="J8" s="34" t="n">
        <x:f>'实验结果'!K19</x:f>
        <x:v>-0.14789795602353661</x:v>
      </x:c>
      <x:c r="K8" s="42" t="str">
        <x:f>'实验结果'!O19</x:f>
        <x:v>full_cross_domain</x:v>
      </x:c>
      <x:c r="L8" s="42" t="str">
        <x:f>'实验结果'!P19</x:f>
        <x:v>no THCHS-30 training</x:v>
      </x:c>
    </x:row>
    <x:row r="9" ht="38" customHeight="1">
      <x:c r="A9" s="11" t="str">
        <x:f>'实验结果'!B20</x:f>
        <x:v>THCHS-30</x:v>
      </x:c>
      <x:c r="B9" s="11" t="str">
        <x:f>'实验结果'!C20</x:f>
        <x:v>test</x:v>
      </x:c>
      <x:c r="C9" s="38" t="n">
        <x:f>'实验结果'!D20</x:f>
        <x:v>2495</x:v>
      </x:c>
      <x:c r="D9" s="42" t="str">
        <x:f>'实验结果'!E20</x:f>
        <x:v>SenseVoice 10-best + Qwen3.5-9B</x:v>
      </x:c>
      <x:c r="E9" s="42" t="str">
        <x:f>'实验结果'!F20</x:f>
        <x:v>ST-CMDS checkpoint-34400</x:v>
      </x:c>
      <x:c r="F9" s="11" t="str">
        <x:f>'实验结果'!G20</x:f>
        <x:v>CER</x:v>
      </x:c>
      <x:c r="G9" s="26" t="n">
        <x:f>'实验结果'!H20</x:f>
        <x:v>0.051664</x:v>
      </x:c>
      <x:c r="H9" s="26" t="n">
        <x:f>'实验结果'!I20</x:f>
        <x:v>0.043358</x:v>
      </x:c>
      <x:c r="I9" s="30" t="n">
        <x:f>'实验结果'!J20</x:f>
        <x:v>-0.8306000000000001</x:v>
      </x:c>
      <x:c r="J9" s="34" t="n">
        <x:f>'实验结果'!K20</x:f>
        <x:v>-0.1607695881077733</x:v>
      </x:c>
      <x:c r="K9" s="42" t="str">
        <x:f>'实验结果'!O20</x:f>
        <x:v>full_cross_domain</x:v>
      </x:c>
      <x:c r="L9" s="42" t="str">
        <x:f>'实验结果'!P20</x:f>
        <x:v>no THCHS-30 training</x:v>
      </x:c>
    </x:row>
    <x:row r="10" ht="38" customHeight="1">
      <x:c r="A10" s="11" t="str">
        <x:f>'实验结果'!B21</x:f>
        <x:v>THCHS-30</x:v>
      </x:c>
      <x:c r="B10" s="11" t="str">
        <x:f>'实验结果'!C21</x:f>
        <x:v>test</x:v>
      </x:c>
      <x:c r="C10" s="38" t="n">
        <x:f>'实验结果'!D21</x:f>
        <x:v>2495</x:v>
      </x:c>
      <x:c r="D10" s="42" t="str">
        <x:f>'实验结果'!E21</x:f>
        <x:v>SenseVoice 10-best + Qwen3.5-9B</x:v>
      </x:c>
      <x:c r="E10" s="42" t="str">
        <x:f>'实验结果'!F21</x:f>
        <x:v>AISHELL checkpoint-30022</x:v>
      </x:c>
      <x:c r="F10" s="11" t="str">
        <x:f>'实验结果'!G21</x:f>
        <x:v>CER</x:v>
      </x:c>
      <x:c r="G10" s="26" t="n">
        <x:f>'实验结果'!H21</x:f>
        <x:v>0.051664</x:v>
      </x:c>
      <x:c r="H10" s="26" t="n">
        <x:f>'实验结果'!I21</x:f>
        <x:v>0.043111</x:v>
      </x:c>
      <x:c r="I10" s="30" t="n">
        <x:f>'实验结果'!J21</x:f>
        <x:v>-0.8553000000000005</x:v>
      </x:c>
      <x:c r="J10" s="34" t="n">
        <x:f>'实验结果'!K21</x:f>
        <x:v>-0.16555048002477557</x:v>
      </x:c>
      <x:c r="K10" s="42" t="str">
        <x:f>'实验结果'!O21</x:f>
        <x:v>full_cross_domain</x:v>
      </x:c>
      <x:c r="L10" s="42" t="str">
        <x:f>'实验结果'!P21</x:f>
        <x:v>best full cross-domain result; no THCHS-30 training</x:v>
      </x:c>
    </x:row>
    <x:row r="11" ht="38" customHeight="1">
      <x:c r="A11" s="11" t="str">
        <x:f>'实验结果'!B22</x:f>
        <x:v>THCHS-30</x:v>
      </x:c>
      <x:c r="B11" s="11" t="str">
        <x:f>'实验结果'!C22</x:f>
        <x:v>test</x:v>
      </x:c>
      <x:c r="C11" s="38" t="n">
        <x:f>'实验结果'!D22</x:f>
        <x:v>2495</x:v>
      </x:c>
      <x:c r="D11" s="42" t="str">
        <x:f>'实验结果'!E22</x:f>
        <x:v>Error-targeted CB-SenseVoice + COVO</x:v>
      </x:c>
      <x:c r="E11" s="42" t="str">
        <x:f>'实验结果'!F22</x:f>
        <x:v>MAGICDATA checkpoint-20000 4B</x:v>
      </x:c>
      <x:c r="F11" s="11" t="str">
        <x:f>'实验结果'!G22</x:f>
        <x:v>CER</x:v>
      </x:c>
      <x:c r="G11" s="26" t="n">
        <x:f>'实验结果'!H22</x:f>
        <x:v>0.034681000000000003</x:v>
      </x:c>
      <x:c r="H11" s="26" t="n">
        <x:f>'实验结果'!I22</x:f>
        <x:v>0.036986</x:v>
      </x:c>
      <x:c r="I11" s="30" t="n">
        <x:f>'实验结果'!J22</x:f>
        <x:v>0.23049999999999946</x:v>
      </x:c>
      <x:c r="J11" s="34" t="n">
        <x:f>'实验结果'!K22</x:f>
        <x:v>0.06646290476053163</x:v>
      </x:c>
      <x:c r="K11" s="42" t="str">
        <x:f>'实验结果'!O22</x:f>
        <x:v>leaked_diagnostic</x:v>
      </x:c>
      <x:c r="L11" s="42" t="str">
        <x:f>'实验结果'!P22</x:f>
        <x:v>test-reference/error-derived hotwords</x:v>
      </x:c>
    </x:row>
    <x:row r="12" ht="38" customHeight="1">
      <x:c r="A12" s="11" t="str">
        <x:f>'实验结果'!B23</x:f>
        <x:v>THCHS-30</x:v>
      </x:c>
      <x:c r="B12" s="11" t="str">
        <x:f>'实验结果'!C23</x:f>
        <x:v>test</x:v>
      </x:c>
      <x:c r="C12" s="38" t="n">
        <x:f>'实验结果'!D23</x:f>
        <x:v>2495</x:v>
      </x:c>
      <x:c r="D12" s="42" t="str">
        <x:f>'实验结果'!E23</x:f>
        <x:v>Error-targeted CB-SenseVoice + acoustic-listwise COVO</x:v>
      </x:c>
      <x:c r="E12" s="42" t="str">
        <x:f>'实验结果'!F23</x:f>
        <x:v>AISHELL acoustic 4B</x:v>
      </x:c>
      <x:c r="F12" s="11" t="str">
        <x:f>'实验结果'!G23</x:f>
        <x:v>CER</x:v>
      </x:c>
      <x:c r="G12" s="26" t="n">
        <x:f>'实验结果'!H23</x:f>
        <x:v>0.034681000000000003</x:v>
      </x:c>
      <x:c r="H12" s="26" t="n">
        <x:f>'实验结果'!I23</x:f>
        <x:v>0.030898</x:v>
      </x:c>
      <x:c r="I12" s="30" t="n">
        <x:f>'实验结果'!J23</x:f>
        <x:v>-0.3783000000000005</x:v>
      </x:c>
      <x:c r="J12" s="34" t="n">
        <x:f>'实验结果'!K23</x:f>
        <x:v>-0.10907989965687281</x:v>
      </x:c>
      <x:c r="K12" s="42" t="str">
        <x:f>'实验结果'!O23</x:f>
        <x:v>leaked_diagnostic</x:v>
      </x:c>
      <x:c r="L12" s="42" t="str">
        <x:f>'实验结果'!P23</x:f>
        <x:v>lowest observed but not held-out</x:v>
      </x:c>
    </x:row>
    <x:row r="13" ht="38" customHeight="1">
      <x:c r="A13" s="11" t="str">
        <x:f>'实验结果'!B24</x:f>
        <x:v>THCHS-30</x:v>
      </x:c>
      <x:c r="B13" s="11" t="str">
        <x:f>'实验结果'!C24</x:f>
        <x:v>test</x:v>
      </x:c>
      <x:c r="C13" s="38" t="n">
        <x:f>'实验结果'!D24</x:f>
        <x:v>2495</x:v>
      </x:c>
      <x:c r="D13" s="42" t="str">
        <x:f>'实验结果'!E24</x:f>
        <x:v>Error-targeted CB-SenseVoice + Qwen3.5-9B</x:v>
      </x:c>
      <x:c r="E13" s="42" t="str">
        <x:f>'实验结果'!F24</x:f>
        <x:v>MAGICDATA checkpoint-39185</x:v>
      </x:c>
      <x:c r="F13" s="11" t="str">
        <x:f>'实验结果'!G24</x:f>
        <x:v>CER</x:v>
      </x:c>
      <x:c r="G13" s="26" t="n">
        <x:f>'实验结果'!H24</x:f>
        <x:v>0.034681000000000003</x:v>
      </x:c>
      <x:c r="H13" s="26" t="n">
        <x:f>'实验结果'!I24</x:f>
        <x:v>0.034176000000000005</x:v>
      </x:c>
      <x:c r="I13" s="30" t="n">
        <x:f>'实验结果'!J24</x:f>
        <x:v>-0.05049999999999985</x:v>
      </x:c>
      <x:c r="J13" s="34" t="n">
        <x:f>'实验结果'!K24</x:f>
        <x:v>-0.014561287160116398</x:v>
      </x:c>
      <x:c r="K13" s="42" t="str">
        <x:f>'实验结果'!O24</x:f>
        <x:v>leaked_diagnostic</x:v>
      </x:c>
      <x:c r="L13" s="42" t="str">
        <x:f>'实验结果'!P24</x:f>
        <x:v>test-reference/error-derived hotwords</x:v>
      </x:c>
    </x:row>
    <x:row r="14" ht="38" customHeight="1">
      <x:c r="A14" s="11" t="str">
        <x:f>'实验结果'!B25</x:f>
        <x:v>THCHS-30</x:v>
      </x:c>
      <x:c r="B14" s="11" t="str">
        <x:f>'实验结果'!C25</x:f>
        <x:v>test</x:v>
      </x:c>
      <x:c r="C14" s="38" t="n">
        <x:f>'实验结果'!D25</x:f>
        <x:v>2495</x:v>
      </x:c>
      <x:c r="D14" s="42" t="str">
        <x:f>'实验结果'!E25</x:f>
        <x:v>Error-targeted CB-SenseVoice + Qwen3.5-9B</x:v>
      </x:c>
      <x:c r="E14" s="42" t="str">
        <x:f>'实验结果'!F25</x:f>
        <x:v>ST-CMDS checkpoint-34400</x:v>
      </x:c>
      <x:c r="F14" s="11" t="str">
        <x:f>'实验结果'!G25</x:f>
        <x:v>CER</x:v>
      </x:c>
      <x:c r="G14" s="26" t="n">
        <x:f>'实验结果'!H25</x:f>
        <x:v>0.034681000000000003</x:v>
      </x:c>
      <x:c r="H14" s="26" t="n">
        <x:f>'实验结果'!I25</x:f>
        <x:v>0.032931</x:v>
      </x:c>
      <x:c r="I14" s="30" t="n">
        <x:f>'实验结果'!J25</x:f>
        <x:v>-0.17500000000000016</x:v>
      </x:c>
      <x:c r="J14" s="34" t="n">
        <x:f>'实验结果'!K25</x:f>
        <x:v>-0.05045990600040373</x:v>
      </x:c>
      <x:c r="K14" s="42" t="str">
        <x:f>'实验结果'!O25</x:f>
        <x:v>leaked_diagnostic</x:v>
      </x:c>
      <x:c r="L14" s="42" t="str">
        <x:f>'实验结果'!P25</x:f>
        <x:v>best CB-Sense + 9B result</x:v>
      </x:c>
    </x:row>
    <x:row r="15" ht="38" customHeight="1">
      <x:c r="A15" s="12" t="str">
        <x:f>'实验结果'!B26</x:f>
        <x:v>THCHS-30</x:v>
      </x:c>
      <x:c r="B15" s="12" t="str">
        <x:f>'实验结果'!C26</x:f>
        <x:v>test</x:v>
      </x:c>
      <x:c r="C15" s="39" t="n">
        <x:f>'实验结果'!D26</x:f>
        <x:v>2495</x:v>
      </x:c>
      <x:c r="D15" s="43" t="str">
        <x:f>'实验结果'!E26</x:f>
        <x:v>Error-targeted CB-SenseVoice + Qwen3.5-9B</x:v>
      </x:c>
      <x:c r="E15" s="43" t="str">
        <x:f>'实验结果'!F26</x:f>
        <x:v>AISHELL checkpoint-30022</x:v>
      </x:c>
      <x:c r="F15" s="12" t="str">
        <x:f>'实验结果'!G26</x:f>
        <x:v>CER</x:v>
      </x:c>
      <x:c r="G15" s="27" t="n">
        <x:f>'实验结果'!H26</x:f>
        <x:v>0.034681000000000003</x:v>
      </x:c>
      <x:c r="H15" s="27" t="n">
        <x:f>'实验结果'!I26</x:f>
        <x:v>0.034804</x:v>
      </x:c>
      <x:c r="I15" s="31" t="n">
        <x:f>'实验结果'!J26</x:f>
        <x:v>0.012299999999999811</x:v>
      </x:c>
      <x:c r="J15" s="35" t="n">
        <x:f>'实验结果'!K26</x:f>
        <x:v>0.0035466105360282274</x:v>
      </x:c>
      <x:c r="K15" s="43" t="str">
        <x:f>'实验结果'!O26</x:f>
        <x:v>leaked_diagnostic</x:v>
      </x:c>
      <x:c r="L15" s="43" t="str">
        <x:f>'实验结果'!P26</x:f>
        <x:v>slight regression</x:v>
      </x:c>
    </x:row>
    <x:row r="18" ht="28" customHeight="1">
      <x:c r="A18" s="120" t="str">
        <x:v>我们能够超过的 2025–2026 年论文结果</x:v>
      </x:c>
      <x:c r="B18" s="120"/>
      <x:c r="C18" s="120"/>
      <x:c r="D18" s="120"/>
      <x:c r="E18" s="120"/>
      <x:c r="F18" s="120"/>
      <x:c r="G18" s="120"/>
      <x:c r="H18" s="120"/>
      <x:c r="I18" s="120"/>
      <x:c r="J18" s="120"/>
      <x:c r="K18" s="120"/>
      <x:c r="L18" s="120"/>
    </x:row>
    <x:row r="19" ht="34" customHeight="1">
      <x:c r="A19" s="74" t="str">
        <x:v>年份</x:v>
      </x:c>
      <x:c r="B19" s="74" t="str">
        <x:v>论文</x:v>
      </x:c>
      <x:c r="C19" s="74" t="str">
        <x:v>模型 / 系统</x:v>
      </x:c>
      <x:c r="D19" s="74" t="str">
        <x:v>测试范围</x:v>
      </x:c>
      <x:c r="E19" s="74" t="str">
        <x:v>指标</x:v>
      </x:c>
      <x:c r="F19" s="74" t="str">
        <x:v>论文错误率</x:v>
      </x:c>
      <x:c r="G19" s="74" t="str">
        <x:v>我们的错误率</x:v>
      </x:c>
      <x:c r="H19" s="74" t="str">
        <x:v>领先 (pp)</x:v>
      </x:c>
      <x:c r="I19" s="74" t="str">
        <x:v>训练/解码设置</x:v>
      </x:c>
      <x:c r="J19" s="74" t="str">
        <x:v>可比性</x:v>
      </x:c>
      <x:c r="K19" s="74" t="str">
        <x:v>论文位置</x:v>
      </x:c>
      <x:c r="L19" s="74" t="str">
        <x:v>来源 URL</x:v>
      </x:c>
    </x:row>
    <x:row r="20" ht="52" customHeight="1">
      <x:c r="A20" s="134" t="n">
        <x:v>2026</x:v>
      </x:c>
      <x:c r="B20" s="107" t="str">
        <x:v>MOSS-Audio Technical Report</x:v>
      </x:c>
      <x:c r="C20" s="107" t="str">
        <x:v>SenseVoice-Small</x:v>
      </x:c>
      <x:c r="D20" s="107" t="str">
        <x:v>THCHS-30 test</x:v>
      </x:c>
      <x:c r="E20" s="107" t="str">
        <x:v>CER</x:v>
      </x:c>
      <x:c r="F20" s="138" t="n">
        <x:v>0.0526</x:v>
      </x:c>
      <x:c r="G20" s="138" t="n">
        <x:f>H10</x:f>
        <x:v>0.043111</x:v>
      </x:c>
      <x:c r="H20" s="142" t="n">
        <x:f>(F20-G20)*100</x:f>
        <x:v>0.9489000000000004</x:v>
      </x:c>
      <x:c r="I20" s="107" t="str">
        <x:v>论文表5中的公开模型复测结果</x:v>
      </x:c>
      <x:c r="J20" s="107" t="str">
        <x:v>直接参考：同测试集与CER；归一化和解码实现需核对</x:v>
      </x:c>
      <x:c r="K20" s="107" t="str">
        <x:v>Table 5</x:v>
      </x:c>
      <x:c r="L20" s="107" t="str">
        <x:v>https://arxiv.org/abs/2606.01802</x:v>
      </x:c>
    </x:row>
    <x:row r="21" ht="52" customHeight="1">
      <x:c r="A21" s="134" t="n">
        <x:v>2026</x:v>
      </x:c>
      <x:c r="B21" s="107" t="str">
        <x:v>MOSS-Audio Technical Report</x:v>
      </x:c>
      <x:c r="C21" s="107" t="str">
        <x:v>Audio Flamingo Next</x:v>
      </x:c>
      <x:c r="D21" s="107" t="str">
        <x:v>THCHS-30 test</x:v>
      </x:c>
      <x:c r="E21" s="107" t="str">
        <x:v>CER</x:v>
      </x:c>
      <x:c r="F21" s="138" t="n">
        <x:v>0.1241</x:v>
      </x:c>
      <x:c r="G21" s="138" t="n">
        <x:f>H10</x:f>
        <x:v>0.043111</x:v>
      </x:c>
      <x:c r="H21" s="142" t="n">
        <x:f>(F21-G21)*100</x:f>
        <x:v>8.0989</x:v>
      </x:c>
      <x:c r="I21" s="107" t="str">
        <x:v>统一音频语言模型；论文表5中的对比模型</x:v>
      </x:c>
      <x:c r="J21" s="107" t="str">
        <x:v>参考对比：训练数据规模与解码协议不同</x:v>
      </x:c>
      <x:c r="K21" s="107" t="str">
        <x:v>Table 5</x:v>
      </x:c>
      <x:c r="L21" s="107" t="str">
        <x:v>https://arxiv.org/abs/2606.01802</x:v>
      </x:c>
    </x:row>
    <x:row r="22" ht="52" customHeight="1">
      <x:c r="A22" s="135" t="n">
        <x:v>2025</x:v>
      </x:c>
      <x:c r="B22" s="124" t="str">
        <x:v>Combined Application of Speech Recognition and Natural Language Processing Technologies in the Electric Power Industry</x:v>
      </x:c>
      <x:c r="C22" s="124" t="str">
        <x:v>Spectrogram input</x:v>
      </x:c>
      <x:c r="D22" s="124" t="str">
        <x:v>THCHS-30 test</x:v>
      </x:c>
      <x:c r="E22" s="124" t="str">
        <x:v>CER</x:v>
      </x:c>
      <x:c r="F22" s="139" t="n">
        <x:v>0.1572</x:v>
      </x:c>
      <x:c r="G22" s="139" t="n">
        <x:f>H10</x:f>
        <x:v>0.043111</x:v>
      </x:c>
      <x:c r="H22" s="143" t="n">
        <x:f>(F22-G22)*100</x:f>
        <x:v>11.408900000000001</x:v>
      </x:c>
      <x:c r="I22" s="124" t="str">
        <x:v>论文输入特征对比；Spectrogram为最佳</x:v>
      </x:c>
      <x:c r="J22" s="124" t="str">
        <x:v>参考对比：任务系统和训练协议不同</x:v>
      </x:c>
      <x:c r="K22" s="124" t="str">
        <x:v>Table 1</x:v>
      </x:c>
      <x:c r="L22" s="124" t="str">
        <x:v>https://amns.sciendo.com/2/v2/download/article/10.2478/amns-2025-0530.pdf</x:v>
      </x:c>
    </x:row>
  </x:sheetData>
  <x:mergeCells>
    <x:mergeCell ref="A1:L1"/>
    <x:mergeCell ref="A2:L2"/>
    <x:mergeCell ref="A18:L18"/>
  </x:mergeCells>
  <x:conditionalFormatting sqref="I5:I15">
    <x:cfRule type="cellIs" dxfId="38" priority="1" operator="lessThan">
      <x:formula>0</x:formula>
    </x:cfRule>
    <x:cfRule type="cellIs" dxfId="39" priority="2" operator="greaterThan">
      <x:formula>0</x:formula>
    </x:cfRule>
  </x:conditionalFormatting>
  <x:conditionalFormatting sqref="K5:K15">
    <x:cfRule type="containsText" dxfId="40" priority="3" operator="containsText" text="leaked"/>
    <x:cfRule type="containsText" dxfId="41" priority="4" operator="containsText" text="oracle"/>
  </x:conditionalFormatting>
  <x:conditionalFormatting sqref="H20:H22">
    <x:cfRule type="cellIs" dxfId="42" priority="5" operator="greaterThan">
      <x:formula>0</x:formula>
    </x:cfRule>
    <x:cfRule type="cellIs" dxfId="43" priority="6" operator="lessThan">
      <x:formula>0</x:formula>
    </x:cfRule>
  </x:conditionalFormatting>
  <x:conditionalFormatting sqref="J20:J22">
    <x:cfRule type="containsText" dxfId="44" priority="7" operator="containsText" text="上下文参考"/>
    <x:cfRule type="containsText" dxfId="45" priority="8" operator="containsText" text="非同测试集"/>
    <x:cfRule type="containsText" dxfId="46" priority="9" operator="containsText" text="协议差异"/>
    <x:cfRule type="containsText" dxfId="47" priority="10" operator="containsText" text="测试划分待核"/>
    <x:cfRule type="containsText" dxfId="48" priority="11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d2c308c39d2f4562"/>
    <x:tablePart xmlns:r="http://schemas.openxmlformats.org/officeDocument/2006/relationships" r:id="R53a0d10a91fb4f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LibriSpeech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'实验结果'!B27</x:f>
        <x:v>LibriSpeech</x:v>
      </x:c>
      <x:c r="B5" s="11" t="str">
        <x:f>'实验结果'!C27</x:f>
        <x:v>dev-clean</x:v>
      </x:c>
      <x:c r="C5" s="38" t="n">
        <x:f>'实验结果'!D27</x:f>
        <x:v>2703</x:v>
      </x:c>
      <x:c r="D5" s="42" t="str">
        <x:f>'实验结果'!E27</x:f>
        <x:v>SenseVoice 10-best + Qwen3.5-9B</x:v>
      </x:c>
      <x:c r="E5" s="42" t="str">
        <x:f>'实验结果'!F27</x:f>
        <x:v>final 2-epoch adapter</x:v>
      </x:c>
      <x:c r="F5" s="11" t="str">
        <x:f>'实验结果'!G27</x:f>
        <x:v>WER</x:v>
      </x:c>
      <x:c r="G5" s="26" t="n">
        <x:f>'实验结果'!H27</x:f>
        <x:v>0.033804</x:v>
      </x:c>
      <x:c r="H5" s="26" t="n">
        <x:f>'实验结果'!I27</x:f>
        <x:v>0.026046999999999997</x:v>
      </x:c>
      <x:c r="I5" s="30" t="n">
        <x:f>'实验结果'!J27</x:f>
        <x:v>-0.7757000000000004</x:v>
      </x:c>
      <x:c r="J5" s="34" t="n">
        <x:f>'实验结果'!K27</x:f>
        <x:v>-0.229469885220684</x:v>
      </x:c>
      <x:c r="K5" s="42" t="str">
        <x:f>'实验结果'!O27</x:f>
        <x:v>full_dev</x:v>
      </x:c>
      <x:c r="L5" s="42" t="str">
        <x:f>'实验结果'!P27</x:f>
        <x:v>character CER 1.2998% to 1.0641%</x:v>
      </x:c>
    </x:row>
    <x:row r="6" ht="38" customHeight="1">
      <x:c r="A6" s="11" t="str">
        <x:f>'实验结果'!B28</x:f>
        <x:v>LibriSpeech</x:v>
      </x:c>
      <x:c r="B6" s="11" t="str">
        <x:f>'实验结果'!C28</x:f>
        <x:v>dev-other</x:v>
      </x:c>
      <x:c r="C6" s="38" t="n">
        <x:f>'实验结果'!D28</x:f>
        <x:v>2864</x:v>
      </x:c>
      <x:c r="D6" s="42" t="str">
        <x:f>'实验结果'!E28</x:f>
        <x:v>SenseVoice 10-best + Qwen3.5-9B</x:v>
      </x:c>
      <x:c r="E6" s="42" t="str">
        <x:f>'实验结果'!F28</x:f>
        <x:v>final 2-epoch adapter</x:v>
      </x:c>
      <x:c r="F6" s="11" t="str">
        <x:f>'实验结果'!G28</x:f>
        <x:v>WER</x:v>
      </x:c>
      <x:c r="G6" s="26" t="n">
        <x:f>'实验结果'!H28</x:f>
        <x:v>0.07011099999999999</x:v>
      </x:c>
      <x:c r="H6" s="26" t="n">
        <x:f>'实验结果'!I28</x:f>
        <x:v>0.055881</x:v>
      </x:c>
      <x:c r="I6" s="30" t="n">
        <x:f>'实验结果'!J28</x:f>
        <x:v>-1.4229999999999992</x:v>
      </x:c>
      <x:c r="J6" s="34" t="n">
        <x:f>'实验结果'!K28</x:f>
        <x:v>-0.20296387157507367</x:v>
      </x:c>
      <x:c r="K6" s="42" t="str">
        <x:f>'实验结果'!O28</x:f>
        <x:v>full_dev</x:v>
      </x:c>
      <x:c r="L6" s="42" t="str">
        <x:f>'实验结果'!P28</x:f>
        <x:v>character CER 3.4088% to 2.9476%</x:v>
      </x:c>
    </x:row>
    <x:row r="7" ht="38" customHeight="1">
      <x:c r="A7" s="11" t="str">
        <x:f>'实验结果'!B29</x:f>
        <x:v>LibriSpeech</x:v>
      </x:c>
      <x:c r="B7" s="11" t="str">
        <x:f>'实验结果'!C29</x:f>
        <x:v>test-clean</x:v>
      </x:c>
      <x:c r="C7" s="38" t="n">
        <x:f>'实验结果'!D29</x:f>
        <x:v>2620</x:v>
      </x:c>
      <x:c r="D7" s="42" t="str">
        <x:f>'实验结果'!E29</x:f>
        <x:v>SenseVoice 10-best oracle</x:v>
      </x:c>
      <x:c r="E7" s="42" t="str">
        <x:f>'实验结果'!F29</x:f>
      </x:c>
      <x:c r="F7" s="11" t="str">
        <x:f>'实验结果'!G29</x:f>
        <x:v>WER</x:v>
      </x:c>
      <x:c r="G7" s="26" t="n">
        <x:f>'实验结果'!H29</x:f>
        <x:v>0.032277</x:v>
      </x:c>
      <x:c r="H7" s="26" t="n">
        <x:f>'实验结果'!I29</x:f>
        <x:v>0.017517</x:v>
      </x:c>
      <x:c r="I7" s="30" t="n">
        <x:f>'实验结果'!J29</x:f>
        <x:v>-1.476</x:v>
      </x:c>
      <x:c r="J7" s="34" t="n">
        <x:f>'实验结果'!K29</x:f>
        <x:v>-0.45729156984849895</x:v>
      </x:c>
      <x:c r="K7" s="42" t="str">
        <x:f>'实验结果'!O29</x:f>
        <x:v>oracle</x:v>
      </x:c>
      <x:c r="L7" s="42" t="str">
        <x:f>'实验结果'!P29</x:f>
        <x:v>candidate-pool upper bound only</x:v>
      </x:c>
    </x:row>
    <x:row r="8" ht="38" customHeight="1">
      <x:c r="A8" s="11" t="str">
        <x:f>'实验结果'!B30</x:f>
        <x:v>LibriSpeech</x:v>
      </x:c>
      <x:c r="B8" s="11" t="str">
        <x:f>'实验结果'!C30</x:f>
        <x:v>test-clean</x:v>
      </x:c>
      <x:c r="C8" s="38" t="n">
        <x:f>'实验结果'!D30</x:f>
        <x:v>2620</x:v>
      </x:c>
      <x:c r="D8" s="42" t="str">
        <x:f>'实验结果'!E30</x:f>
        <x:v>SenseVoice 10-best + Qwen3.5-9B</x:v>
      </x:c>
      <x:c r="E8" s="42" t="str">
        <x:f>'实验结果'!F30</x:f>
        <x:v>final 2-epoch adapter</x:v>
      </x:c>
      <x:c r="F8" s="11" t="str">
        <x:f>'实验结果'!G30</x:f>
        <x:v>WER</x:v>
      </x:c>
      <x:c r="G8" s="26" t="n">
        <x:f>'实验结果'!H30</x:f>
        <x:v>0.032277</x:v>
      </x:c>
      <x:c r="H8" s="26" t="n">
        <x:f>'实验结果'!I30</x:f>
        <x:v>0.026419</x:v>
      </x:c>
      <x:c r="I8" s="30" t="n">
        <x:f>'实验结果'!J30</x:f>
        <x:v>-0.5857999999999999</x:v>
      </x:c>
      <x:c r="J8" s="34" t="n">
        <x:f>'实验结果'!K30</x:f>
        <x:v>-0.18149146451033238</x:v>
      </x:c>
      <x:c r="K8" s="42" t="str">
        <x:f>'实验结果'!O30</x:f>
        <x:v>full_test</x:v>
      </x:c>
      <x:c r="L8" s="42" t="str">
        <x:f>'实验结果'!P30</x:f>
        <x:v>character CER 1.2237% to 1.0258%</x:v>
      </x:c>
    </x:row>
    <x:row r="9" ht="38" customHeight="1">
      <x:c r="A9" s="11" t="str">
        <x:f>'实验结果'!B31</x:f>
        <x:v>LibriSpeech</x:v>
      </x:c>
      <x:c r="B9" s="11" t="str">
        <x:f>'实验结果'!C31</x:f>
        <x:v>test-other</x:v>
      </x:c>
      <x:c r="C9" s="38" t="n">
        <x:f>'实验结果'!D31</x:f>
        <x:v>2939</x:v>
      </x:c>
      <x:c r="D9" s="42" t="str">
        <x:f>'实验结果'!E31</x:f>
        <x:v>SenseVoice 10-best oracle</x:v>
      </x:c>
      <x:c r="E9" s="42" t="str">
        <x:f>'实验结果'!F31</x:f>
      </x:c>
      <x:c r="F9" s="11" t="str">
        <x:f>'实验结果'!G31</x:f>
        <x:v>WER</x:v>
      </x:c>
      <x:c r="G9" s="26" t="n">
        <x:f>'实验结果'!H31</x:f>
        <x:v>0.072789</x:v>
      </x:c>
      <x:c r="H9" s="26" t="n">
        <x:f>'实验结果'!I31</x:f>
        <x:v>0.049061</x:v>
      </x:c>
      <x:c r="I9" s="30" t="n">
        <x:f>'实验结果'!J31</x:f>
        <x:v>-2.3728000000000007</x:v>
      </x:c>
      <x:c r="J9" s="34" t="n">
        <x:f>'实验结果'!K31</x:f>
        <x:v>-0.32598332165574473</x:v>
      </x:c>
      <x:c r="K9" s="42" t="str">
        <x:f>'实验结果'!O31</x:f>
        <x:v>oracle</x:v>
      </x:c>
      <x:c r="L9" s="42" t="str">
        <x:f>'实验结果'!P31</x:f>
        <x:v>candidate-pool upper bound only</x:v>
      </x:c>
    </x:row>
    <x:row r="10" ht="38" customHeight="1">
      <x:c r="A10" s="12" t="str">
        <x:f>'实验结果'!B32</x:f>
        <x:v>LibriSpeech</x:v>
      </x:c>
      <x:c r="B10" s="12" t="str">
        <x:f>'实验结果'!C32</x:f>
        <x:v>test-other</x:v>
      </x:c>
      <x:c r="C10" s="39" t="n">
        <x:f>'实验结果'!D32</x:f>
        <x:v>2939</x:v>
      </x:c>
      <x:c r="D10" s="43" t="str">
        <x:f>'实验结果'!E32</x:f>
        <x:v>SenseVoice 10-best + Qwen3.5-9B</x:v>
      </x:c>
      <x:c r="E10" s="43" t="str">
        <x:f>'实验结果'!F32</x:f>
        <x:v>final 2-epoch adapter</x:v>
      </x:c>
      <x:c r="F10" s="12" t="str">
        <x:f>'实验结果'!G32</x:f>
        <x:v>WER</x:v>
      </x:c>
      <x:c r="G10" s="27" t="n">
        <x:f>'实验结果'!H32</x:f>
        <x:v>0.072789</x:v>
      </x:c>
      <x:c r="H10" s="27" t="n">
        <x:f>'实验结果'!I32</x:f>
        <x:v>0.059206</x:v>
      </x:c>
      <x:c r="I10" s="31" t="n">
        <x:f>'实验结果'!J32</x:f>
        <x:v>-1.3583000000000005</x:v>
      </x:c>
      <x:c r="J10" s="35" t="n">
        <x:f>'实验结果'!K32</x:f>
        <x:v>-0.18660786657324602</x:v>
      </x:c>
      <x:c r="K10" s="43" t="str">
        <x:f>'实验结果'!O32</x:f>
        <x:v>full_test</x:v>
      </x:c>
      <x:c r="L10" s="43" t="str">
        <x:f>'实验结果'!P32</x:f>
        <x:v>character CER 3.4059% to 2.9635%</x:v>
      </x:c>
    </x:row>
    <x:row r="13" ht="28" customHeight="1">
      <x:c r="A13" s="120" t="str">
        <x:v>我们能够超过的 2025–2026 年论文结果</x:v>
      </x:c>
      <x:c r="B13" s="120"/>
      <x:c r="C13" s="120"/>
      <x:c r="D13" s="120"/>
      <x:c r="E13" s="120"/>
      <x:c r="F13" s="120"/>
      <x:c r="G13" s="120"/>
      <x:c r="H13" s="120"/>
      <x:c r="I13" s="120"/>
      <x:c r="J13" s="120"/>
      <x:c r="K13" s="120"/>
      <x:c r="L13" s="120"/>
    </x:row>
    <x:row r="14" ht="34" customHeight="1">
      <x:c r="A14" s="74" t="str">
        <x:v>年份</x:v>
      </x:c>
      <x:c r="B14" s="74" t="str">
        <x:v>论文</x:v>
      </x:c>
      <x:c r="C14" s="74" t="str">
        <x:v>模型 / 系统</x:v>
      </x:c>
      <x:c r="D14" s="74" t="str">
        <x:v>测试范围</x:v>
      </x:c>
      <x:c r="E14" s="74" t="str">
        <x:v>指标</x:v>
      </x:c>
      <x:c r="F14" s="74" t="str">
        <x:v>论文错误率</x:v>
      </x:c>
      <x:c r="G14" s="74" t="str">
        <x:v>我们的错误率</x:v>
      </x:c>
      <x:c r="H14" s="74" t="str">
        <x:v>领先 (pp)</x:v>
      </x:c>
      <x:c r="I14" s="74" t="str">
        <x:v>训练/解码设置</x:v>
      </x:c>
      <x:c r="J14" s="74" t="str">
        <x:v>可比性</x:v>
      </x:c>
      <x:c r="K14" s="74" t="str">
        <x:v>论文位置</x:v>
      </x:c>
      <x:c r="L14" s="74" t="str">
        <x:v>来源 URL</x:v>
      </x:c>
    </x:row>
    <x:row r="15" ht="52" customHeight="1">
      <x:c r="A15" s="134" t="n">
        <x:v>2025</x:v>
      </x:c>
      <x:c r="B15" s="107" t="str">
        <x:v>An Effective Training Framework for Light-Weight Automatic Speech Recognition Models</x:v>
      </x:c>
      <x:c r="C15" s="107" t="str">
        <x:v>Conformer (ours), 6-layer</x:v>
      </x:c>
      <x:c r="D15" s="107" t="str">
        <x:v>test-clean</x:v>
      </x:c>
      <x:c r="E15" s="107" t="str">
        <x:v>WER</x:v>
      </x:c>
      <x:c r="F15" s="138" t="n">
        <x:v>0.0627</x:v>
      </x:c>
      <x:c r="G15" s="138" t="n">
        <x:f>H8</x:f>
        <x:v>0.026419</x:v>
      </x:c>
      <x:c r="H15" s="142" t="n">
        <x:f>(F15-G15)*100</x:f>
        <x:v>3.6281000000000008</x:v>
      </x:c>
      <x:c r="I15" s="107" t="str">
        <x:v>9.462M参数；论文提出的两阶段轻量训练</x:v>
      </x:c>
      <x:c r="J15" s="107" t="str">
        <x:v>直接参考：同官方测试集与WER；模型规模/训练目标不同</x:v>
      </x:c>
      <x:c r="K15" s="107" t="str">
        <x:v>Table 1</x:v>
      </x:c>
      <x:c r="L15" s="107" t="str">
        <x:v>https://www.isca-archive.org/interspeech_2025/hannan25b_interspeech.html</x:v>
      </x:c>
    </x:row>
    <x:row r="16" ht="52" customHeight="1">
      <x:c r="A16" s="134" t="n">
        <x:v>2025</x:v>
      </x:c>
      <x:c r="B16" s="107" t="str">
        <x:v>An Effective Training Framework for Light-Weight Automatic Speech Recognition Models</x:v>
      </x:c>
      <x:c r="C16" s="107" t="str">
        <x:v>Conformer (ours), 6-layer</x:v>
      </x:c>
      <x:c r="D16" s="107" t="str">
        <x:v>test-other</x:v>
      </x:c>
      <x:c r="E16" s="107" t="str">
        <x:v>WER</x:v>
      </x:c>
      <x:c r="F16" s="138" t="n">
        <x:v>0.1747</x:v>
      </x:c>
      <x:c r="G16" s="138" t="n">
        <x:f>H10</x:f>
        <x:v>0.059206</x:v>
      </x:c>
      <x:c r="H16" s="142" t="n">
        <x:f>(F16-G16)*100</x:f>
        <x:v>11.549399999999999</x:v>
      </x:c>
      <x:c r="I16" s="107" t="str">
        <x:v>9.462M参数；论文提出的两阶段轻量训练</x:v>
      </x:c>
      <x:c r="J16" s="107" t="str">
        <x:v>直接参考：同官方测试集与WER；模型规模/训练目标不同</x:v>
      </x:c>
      <x:c r="K16" s="107" t="str">
        <x:v>Table 1</x:v>
      </x:c>
      <x:c r="L16" s="107" t="str">
        <x:v>https://www.isca-archive.org/interspeech_2025/hannan25b_interspeech.html</x:v>
      </x:c>
    </x:row>
    <x:row r="17" ht="52" customHeight="1">
      <x:c r="A17" s="134" t="n">
        <x:v>2025</x:v>
      </x:c>
      <x:c r="B17" s="107" t="str">
        <x:v>Improving Cross-Attention based on Positional Alignment during Inference for Robust Long-form Speech Recognition</x:v>
      </x:c>
      <x:c r="C17" s="107" t="str">
        <x:v>Transformer (ours)</x:v>
      </x:c>
      <x:c r="D17" s="107" t="str">
        <x:v>test-clean</x:v>
      </x:c>
      <x:c r="E17" s="107" t="str">
        <x:v>WER</x:v>
      </x:c>
      <x:c r="F17" s="138" t="n">
        <x:v>0.0328</x:v>
      </x:c>
      <x:c r="G17" s="138" t="n">
        <x:f>H8</x:f>
        <x:v>0.026419</x:v>
      </x:c>
      <x:c r="H17" s="142" t="n">
        <x:f>(F17-G17)*100</x:f>
        <x:v>0.6381000000000001</x:v>
      </x:c>
      <x:c r="I17" s="107" t="str">
        <x:v>仅对超过20秒的语音应用论文方法</x:v>
      </x:c>
      <x:c r="J17" s="107" t="str">
        <x:v>直接参考：同官方测试集与WER；长语音策略不同</x:v>
      </x:c>
      <x:c r="K17" s="107" t="str">
        <x:v>Table 5</x:v>
      </x:c>
      <x:c r="L17" s="107" t="str">
        <x:v>https://www.isca-archive.org/interspeech_2025/oh25c_interspeech.html</x:v>
      </x:c>
    </x:row>
    <x:row r="18" ht="52" customHeight="1">
      <x:c r="A18" s="134" t="n">
        <x:v>2025</x:v>
      </x:c>
      <x:c r="B18" s="107" t="str">
        <x:v>Improving Cross-Attention based on Positional Alignment during Inference for Robust Long-form Speech Recognition</x:v>
      </x:c>
      <x:c r="C18" s="107" t="str">
        <x:v>Transformer (ours)</x:v>
      </x:c>
      <x:c r="D18" s="107" t="str">
        <x:v>test-other</x:v>
      </x:c>
      <x:c r="E18" s="107" t="str">
        <x:v>WER</x:v>
      </x:c>
      <x:c r="F18" s="138" t="n">
        <x:v>0.0791</x:v>
      </x:c>
      <x:c r="G18" s="138" t="n">
        <x:f>H10</x:f>
        <x:v>0.059206</x:v>
      </x:c>
      <x:c r="H18" s="142" t="n">
        <x:f>(F18-G18)*100</x:f>
        <x:v>1.9894000000000003</x:v>
      </x:c>
      <x:c r="I18" s="107" t="str">
        <x:v>仅对超过20秒的语音应用论文方法</x:v>
      </x:c>
      <x:c r="J18" s="107" t="str">
        <x:v>直接参考：同官方测试集与WER；长语音策略不同</x:v>
      </x:c>
      <x:c r="K18" s="107" t="str">
        <x:v>Table 5</x:v>
      </x:c>
      <x:c r="L18" s="107" t="str">
        <x:v>https://www.isca-archive.org/interspeech_2025/oh25c_interspeech.html</x:v>
      </x:c>
    </x:row>
    <x:row r="19" ht="52" customHeight="1">
      <x:c r="A19" s="134" t="n">
        <x:v>2025</x:v>
      </x:c>
      <x:c r="B19" s="107" t="str">
        <x:v>DYNAC: Dynamic Vocabulary-based Non-Autoregressive Contextualization for Speech Recognition</x:v>
      </x:c>
      <x:c r="C19" s="107" t="str">
        <x:v>DYNAC (N=0, no-bias)</x:v>
      </x:c>
      <x:c r="D19" s="107" t="str">
        <x:v>test-clean</x:v>
      </x:c>
      <x:c r="E19" s="107" t="str">
        <x:v>WER</x:v>
      </x:c>
      <x:c r="F19" s="138" t="n">
        <x:v>0.035</x:v>
      </x:c>
      <x:c r="G19" s="138" t="n">
        <x:f>H8</x:f>
        <x:v>0.026419</x:v>
      </x:c>
      <x:c r="H19" s="142" t="n">
        <x:f>(F19-G19)*100</x:f>
        <x:v>0.8581000000000002</x:v>
      </x:c>
      <x:c r="I19" s="107" t="str">
        <x:v>LibriSpeech-960；无偏置词表条件</x:v>
      </x:c>
      <x:c r="J19" s="107" t="str">
        <x:v>直接参考：同测试集与WER；选择N=0以匹配无词表条件</x:v>
      </x:c>
      <x:c r="K19" s="107" t="str">
        <x:v>Table 2</x:v>
      </x:c>
      <x:c r="L19" s="107" t="str">
        <x:v>https://www.isca-archive.org/interspeech_2025/sudo25_interspeech.html</x:v>
      </x:c>
    </x:row>
    <x:row r="20" ht="52" customHeight="1">
      <x:c r="A20" s="135" t="n">
        <x:v>2025</x:v>
      </x:c>
      <x:c r="B20" s="124" t="str">
        <x:v>DYNAC: Dynamic Vocabulary-based Non-Autoregressive Contextualization for Speech Recognition</x:v>
      </x:c>
      <x:c r="C20" s="124" t="str">
        <x:v>DYNAC (N=0, no-bias)</x:v>
      </x:c>
      <x:c r="D20" s="124" t="str">
        <x:v>test-other</x:v>
      </x:c>
      <x:c r="E20" s="124" t="str">
        <x:v>WER</x:v>
      </x:c>
      <x:c r="F20" s="139" t="n">
        <x:v>0.085</x:v>
      </x:c>
      <x:c r="G20" s="139" t="n">
        <x:f>H10</x:f>
        <x:v>0.059206</x:v>
      </x:c>
      <x:c r="H20" s="143" t="n">
        <x:f>(F20-G20)*100</x:f>
        <x:v>2.5794000000000006</x:v>
      </x:c>
      <x:c r="I20" s="124" t="str">
        <x:v>LibriSpeech-960；无偏置词表条件</x:v>
      </x:c>
      <x:c r="J20" s="124" t="str">
        <x:v>直接参考：同测试集与WER；选择N=0以匹配无词表条件</x:v>
      </x:c>
      <x:c r="K20" s="124" t="str">
        <x:v>Table 2</x:v>
      </x:c>
      <x:c r="L20" s="124" t="str">
        <x:v>https://www.isca-archive.org/interspeech_2025/sudo25_interspeech.html</x:v>
      </x:c>
    </x:row>
  </x:sheetData>
  <x:mergeCells>
    <x:mergeCell ref="A1:L1"/>
    <x:mergeCell ref="A2:L2"/>
    <x:mergeCell ref="A13:L13"/>
  </x:mergeCells>
  <x:conditionalFormatting sqref="I5:I10">
    <x:cfRule type="cellIs" dxfId="49" priority="1" operator="lessThan">
      <x:formula>0</x:formula>
    </x:cfRule>
    <x:cfRule type="cellIs" dxfId="50" priority="2" operator="greaterThan">
      <x:formula>0</x:formula>
    </x:cfRule>
  </x:conditionalFormatting>
  <x:conditionalFormatting sqref="K5:K10">
    <x:cfRule type="containsText" dxfId="51" priority="3" operator="containsText" text="leaked"/>
    <x:cfRule type="containsText" dxfId="52" priority="4" operator="containsText" text="oracle"/>
  </x:conditionalFormatting>
  <x:conditionalFormatting sqref="H15:H20">
    <x:cfRule type="cellIs" dxfId="53" priority="5" operator="greaterThan">
      <x:formula>0</x:formula>
    </x:cfRule>
    <x:cfRule type="cellIs" dxfId="54" priority="6" operator="lessThan">
      <x:formula>0</x:formula>
    </x:cfRule>
  </x:conditionalFormatting>
  <x:conditionalFormatting sqref="J15:J20">
    <x:cfRule type="containsText" dxfId="55" priority="7" operator="containsText" text="上下文参考"/>
    <x:cfRule type="containsText" dxfId="56" priority="8" operator="containsText" text="非同测试集"/>
    <x:cfRule type="containsText" dxfId="57" priority="9" operator="containsText" text="协议差异"/>
    <x:cfRule type="containsText" dxfId="58" priority="10" operator="containsText" text="测试划分待核"/>
    <x:cfRule type="containsText" dxfId="59" priority="11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3f6b9efbaf514a9f"/>
    <x:tablePart xmlns:r="http://schemas.openxmlformats.org/officeDocument/2006/relationships" r:id="R86b27aed6ede44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74" t="str">
        <x:v>项目</x:v>
      </x:c>
      <x:c r="B1" s="74" t="str">
        <x:v>说明</x:v>
      </x:c>
    </x:row>
    <x:row r="2" ht="36" customHeight="1">
      <x:c r="A2" s="158" t="str">
        <x:v>中文指标</x:v>
      </x:c>
      <x:c r="B2" s="162" t="str">
        <x:v>Corpus CER = 总字符编辑数 / 总参考字符数</x:v>
      </x:c>
    </x:row>
    <x:row r="3" ht="36" customHeight="1">
      <x:c r="A3" s="158" t="str">
        <x:v>英文指标</x:v>
      </x:c>
      <x:c r="B3" s="162" t="str">
        <x:v>LibriSpeech 使用 corpus WER = 总词编辑数 / 总参考词数</x:v>
      </x:c>
    </x:row>
    <x:row r="4" ht="36" customHeight="1">
      <x:c r="A4" s="158" t="str">
        <x:v>输入错误率</x:v>
      </x:c>
      <x:c r="B4" s="162" t="str">
        <x:v>进入后处理/重排模型前，上游ASR或候选首选结果的错误率</x:v>
      </x:c>
    </x:row>
    <x:row r="5" ht="36" customHeight="1">
      <x:c r="A5" s="158" t="str">
        <x:v>输出错误率</x:v>
      </x:c>
      <x:c r="B5" s="162" t="str">
        <x:v>经过COVO、9B重排或其他后处理后，最终输出的错误率</x:v>
      </x:c>
    </x:row>
    <x:row r="6" ht="36" customHeight="1">
      <x:c r="A6" s="158" t="str">
        <x:v>变化</x:v>
      </x:c>
      <x:c r="B6" s="162" t="str">
        <x:v>输出错误率减输入错误率；负值代表改善</x:v>
      </x:c>
    </x:row>
    <x:row r="7" ht="36" customHeight="1">
      <x:c r="A7" s="158" t="str">
        <x:v>Full / held-out</x:v>
      </x:c>
      <x:c r="B7" s="162" t="str">
        <x:v>完整目标范围；held-out 表示 checkpoint 未由 test 选择</x:v>
      </x:c>
    </x:row>
    <x:row r="8" ht="36" customHeight="1">
      <x:c r="A8" s="158" t="str">
        <x:v>Full cross-domain</x:v>
      </x:c>
      <x:c r="B8" s="162" t="str">
        <x:v>目标数据集零训练、零 checkpoint 调参</x:v>
      </x:c>
    </x:row>
    <x:row r="9" ht="36" customHeight="1">
      <x:c r="A9" s="158" t="str">
        <x:v>Oracle</x:v>
      </x:c>
      <x:c r="B9" s="162" t="str">
        <x:v>参考答案参与10-best候选选择，只表示候选池上界</x:v>
      </x:c>
    </x:row>
    <x:row r="10" ht="36" customHeight="1">
      <x:c r="A10" s="158" t="str">
        <x:v>Leaked diagnostic</x:v>
      </x:c>
      <x:c r="B10" s="162" t="str">
        <x:v>测试参考、测试错误或测试派生词表影响系统，不可作为论文主结果</x:v>
      </x:c>
    </x:row>
    <x:row r="11" ht="36" customHeight="1">
      <x:c r="A11" s="158" t="str">
        <x:v>论文对比原则</x:v>
      </x:c>
      <x:c r="B11" s="162" t="str">
        <x:v>主表以2025–2026年为主；MAGICDATA与ST-CMDS补充2021–2024。只收录同数据集和CER/WER口径、且我们的主结果能够超过的论文设置；测试重划分、测试派生词典、训练数据、外部LM、流式延迟和上下文偏置差异必须单列</x:v>
      </x:c>
    </x:row>
    <x:row r="12" ht="36" customHeight="1">
      <x:c r="A12" s="158" t="str">
        <x:v>MAGICDATA名称</x:v>
      </x:c>
      <x:c r="B12" s="162" t="str">
        <x:v>本工作为MAGICDATA-READ（OpenSLR 68）；MagicData-RAMC是不同的会话语料，未混入对比</x:v>
      </x:c>
    </x:row>
    <x:row r="13" ht="36" customHeight="1">
      <x:c r="A13" s="158" t="str">
        <x:v>主汇总</x:v>
      </x:c>
      <x:c r="B13" s="162" t="str">
        <x:v>/root/autodl-tmp/RESULTS_ALL_DATASETS_20260826.md</x:v>
      </x:c>
    </x:row>
    <x:row r="14" ht="36" customHeight="1">
      <x:c r="A14" s="159" t="str">
        <x:v>机器可读源</x:v>
      </x:c>
      <x:c r="B14" s="163" t="str">
        <x:v>/root/autodl-tmp/RESULTS_ALL_DATASETS_20260826.csv</x:v>
      </x:c>
    </x:row>
  </x:sheetData>
  <x:pageMargins left="0.7" right="0.7" top="0.75" bottom="0.75" header="0.3" footer="0.3"/>
  <x:tableParts count="1">
    <x:tablePart xmlns:r="http://schemas.openxmlformats.org/officeDocument/2006/relationships" r:id="R365c089e286142db"/>
  </x:tableParts>
</x:worksheet>
</file>